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/>
  <mc:AlternateContent xmlns:mc="http://schemas.openxmlformats.org/markup-compatibility/2006">
    <mc:Choice Requires="x15">
      <x15ac:absPath xmlns:x15ac="http://schemas.microsoft.com/office/spreadsheetml/2010/11/ac" url="C:\Users\Administrator.rokin-2025VMFLM\Desktop\00-跟踪项\"/>
    </mc:Choice>
  </mc:AlternateContent>
  <xr:revisionPtr revIDLastSave="0" documentId="13_ncr:1_{B3AFBBD9-44DA-4229-9C4C-52A47E5A37AE}" xr6:coauthVersionLast="47" xr6:coauthVersionMax="47" xr10:uidLastSave="{00000000-0000-0000-0000-000000000000}"/>
  <bookViews>
    <workbookView xWindow="-103" yWindow="-103" windowWidth="22149" windowHeight="13474" tabRatio="766" firstSheet="2" activeTab="2" xr2:uid="{00000000-000D-0000-FFFF-FFFF00000000}"/>
  </bookViews>
  <sheets>
    <sheet name="总览" sheetId="1" r:id="rId1"/>
    <sheet name="11.1施工计划表" sheetId="2" r:id="rId2"/>
    <sheet name="施工甘特图" sheetId="3" r:id="rId3"/>
    <sheet name="OB预计发货量" sheetId="4" r:id="rId4"/>
    <sheet name="NIKE的forcast" sheetId="5" r:id="rId5"/>
    <sheet name="历史发货记录" sheetId="6" r:id="rId6"/>
    <sheet name="11.2施工人员安排" sheetId="7" r:id="rId7"/>
  </sheets>
  <calcPr calcId="191029"/>
</workbook>
</file>

<file path=xl/calcChain.xml><?xml version="1.0" encoding="utf-8"?>
<calcChain xmlns="http://schemas.openxmlformats.org/spreadsheetml/2006/main">
  <c r="C87" i="3" l="1"/>
  <c r="D87" i="3" s="1"/>
  <c r="C88" i="3" s="1"/>
  <c r="C70" i="3"/>
  <c r="D70" i="3" s="1"/>
  <c r="C35" i="3"/>
  <c r="D35" i="3" s="1"/>
  <c r="D22" i="3"/>
  <c r="C23" i="3" s="1"/>
  <c r="F17" i="7"/>
  <c r="E17" i="7"/>
  <c r="D17" i="7"/>
  <c r="C17" i="7"/>
  <c r="F16" i="7"/>
  <c r="F15" i="7"/>
  <c r="F14" i="7"/>
  <c r="F13" i="7"/>
  <c r="C9" i="7"/>
  <c r="CP3" i="4"/>
  <c r="CO3" i="4"/>
  <c r="CN3" i="4"/>
  <c r="CM3" i="4"/>
  <c r="CL3" i="4"/>
  <c r="CI3" i="4"/>
  <c r="CH3" i="4"/>
  <c r="CG3" i="4"/>
  <c r="CF3" i="4"/>
  <c r="CE3" i="4"/>
  <c r="CB3" i="4"/>
  <c r="CA3" i="4"/>
  <c r="BZ3" i="4"/>
  <c r="BY3" i="4"/>
  <c r="BX3" i="4"/>
  <c r="BU3" i="4"/>
  <c r="BT3" i="4"/>
  <c r="BS3" i="4"/>
  <c r="BR3" i="4"/>
  <c r="BQ3" i="4"/>
  <c r="BO3" i="4"/>
  <c r="BN3" i="4"/>
  <c r="BM3" i="4"/>
  <c r="BL3" i="4"/>
  <c r="BK3" i="4"/>
  <c r="BJ3" i="4"/>
  <c r="BG3" i="4"/>
  <c r="BF3" i="4"/>
  <c r="BE3" i="4"/>
  <c r="BD3" i="4"/>
  <c r="BC3" i="4"/>
  <c r="AZ3" i="4"/>
  <c r="AY3" i="4"/>
  <c r="AX3" i="4"/>
  <c r="AW3" i="4"/>
  <c r="AV3" i="4"/>
  <c r="AS3" i="4"/>
  <c r="AR3" i="4"/>
  <c r="AQ3" i="4"/>
  <c r="AP3" i="4"/>
  <c r="AO3" i="4"/>
  <c r="AL3" i="4"/>
  <c r="AK3" i="4"/>
  <c r="AJ3" i="4"/>
  <c r="AI3" i="4"/>
  <c r="AH3" i="4"/>
  <c r="AE3" i="4"/>
  <c r="AD3" i="4"/>
  <c r="AC3" i="4"/>
  <c r="AB3" i="4"/>
  <c r="AA3" i="4"/>
  <c r="X3" i="4"/>
  <c r="W3" i="4"/>
  <c r="V3" i="4"/>
  <c r="U3" i="4"/>
  <c r="T3" i="4"/>
  <c r="Q3" i="4"/>
  <c r="P3" i="4"/>
  <c r="O3" i="4"/>
  <c r="N3" i="4"/>
  <c r="M3" i="4"/>
  <c r="J3" i="4"/>
  <c r="I3" i="4"/>
  <c r="H3" i="4"/>
  <c r="G3" i="4"/>
  <c r="F3" i="4"/>
  <c r="B3" i="4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B8" i="1"/>
  <c r="B7" i="1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N95" i="3"/>
  <c r="DM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B13" i="3"/>
  <c r="EF8" i="3"/>
  <c r="EE8" i="3"/>
  <c r="EF11" i="3" s="1"/>
  <c r="ED8" i="3"/>
  <c r="EE11" i="3" s="1"/>
  <c r="EC8" i="3"/>
  <c r="ED11" i="3" s="1"/>
  <c r="EF12" i="3" s="1"/>
  <c r="EB8" i="3"/>
  <c r="EC11" i="3" s="1"/>
  <c r="EE12" i="3" s="1"/>
  <c r="EA8" i="3"/>
  <c r="EB11" i="3" s="1"/>
  <c r="ED12" i="3" s="1"/>
  <c r="DZ8" i="3"/>
  <c r="EA11" i="3" s="1"/>
  <c r="EC12" i="3" s="1"/>
  <c r="DY8" i="3"/>
  <c r="DZ11" i="3" s="1"/>
  <c r="EB12" i="3" s="1"/>
  <c r="DX8" i="3"/>
  <c r="DY11" i="3" s="1"/>
  <c r="EA12" i="3" s="1"/>
  <c r="DW8" i="3"/>
  <c r="DX11" i="3" s="1"/>
  <c r="DZ12" i="3" s="1"/>
  <c r="DV8" i="3"/>
  <c r="DW11" i="3" s="1"/>
  <c r="DY12" i="3" s="1"/>
  <c r="DU8" i="3"/>
  <c r="DV11" i="3" s="1"/>
  <c r="DX12" i="3" s="1"/>
  <c r="DT8" i="3"/>
  <c r="DU11" i="3" s="1"/>
  <c r="DW12" i="3" s="1"/>
  <c r="DS8" i="3"/>
  <c r="DT11" i="3" s="1"/>
  <c r="DV12" i="3" s="1"/>
  <c r="DR8" i="3"/>
  <c r="DS11" i="3" s="1"/>
  <c r="DU12" i="3" s="1"/>
  <c r="DQ8" i="3"/>
  <c r="DR11" i="3" s="1"/>
  <c r="DT12" i="3" s="1"/>
  <c r="DP8" i="3"/>
  <c r="DQ11" i="3" s="1"/>
  <c r="DS12" i="3" s="1"/>
  <c r="DO8" i="3"/>
  <c r="DP11" i="3" s="1"/>
  <c r="DR12" i="3" s="1"/>
  <c r="DN8" i="3"/>
  <c r="DO11" i="3" s="1"/>
  <c r="DQ12" i="3" s="1"/>
  <c r="DM8" i="3"/>
  <c r="DN11" i="3" s="1"/>
  <c r="DP12" i="3" s="1"/>
  <c r="DL8" i="3"/>
  <c r="DM11" i="3" s="1"/>
  <c r="DO12" i="3" s="1"/>
  <c r="DK8" i="3"/>
  <c r="DL11" i="3" s="1"/>
  <c r="DN12" i="3" s="1"/>
  <c r="DJ8" i="3"/>
  <c r="DK11" i="3" s="1"/>
  <c r="DM12" i="3" s="1"/>
  <c r="DI8" i="3"/>
  <c r="DJ11" i="3" s="1"/>
  <c r="DL12" i="3" s="1"/>
  <c r="DH8" i="3"/>
  <c r="DI11" i="3" s="1"/>
  <c r="DK12" i="3" s="1"/>
  <c r="DG8" i="3"/>
  <c r="DH11" i="3" s="1"/>
  <c r="DJ12" i="3" s="1"/>
  <c r="DF8" i="3"/>
  <c r="DG11" i="3" s="1"/>
  <c r="DI12" i="3" s="1"/>
  <c r="DE8" i="3"/>
  <c r="DF11" i="3" s="1"/>
  <c r="DH12" i="3" s="1"/>
  <c r="DD8" i="3"/>
  <c r="DE11" i="3" s="1"/>
  <c r="DG12" i="3" s="1"/>
  <c r="DC8" i="3"/>
  <c r="DD11" i="3" s="1"/>
  <c r="DF12" i="3" s="1"/>
  <c r="DB8" i="3"/>
  <c r="DC11" i="3" s="1"/>
  <c r="DE12" i="3" s="1"/>
  <c r="DA8" i="3"/>
  <c r="DB11" i="3" s="1"/>
  <c r="DD12" i="3" s="1"/>
  <c r="CZ8" i="3"/>
  <c r="DA11" i="3" s="1"/>
  <c r="DC12" i="3" s="1"/>
  <c r="CY8" i="3"/>
  <c r="CZ11" i="3" s="1"/>
  <c r="DB12" i="3" s="1"/>
  <c r="CX8" i="3"/>
  <c r="CY11" i="3" s="1"/>
  <c r="DA12" i="3" s="1"/>
  <c r="CW8" i="3"/>
  <c r="CX11" i="3" s="1"/>
  <c r="CV8" i="3"/>
  <c r="CW11" i="3" s="1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CB11" i="3" s="1"/>
  <c r="BZ8" i="3"/>
  <c r="CA11" i="3" s="1"/>
  <c r="BY8" i="3"/>
  <c r="BZ11" i="3" s="1"/>
  <c r="CB12" i="3" s="1"/>
  <c r="BX8" i="3"/>
  <c r="BY11" i="3" s="1"/>
  <c r="CA12" i="3" s="1"/>
  <c r="BW8" i="3"/>
  <c r="BX11" i="3" s="1"/>
  <c r="BZ12" i="3" s="1"/>
  <c r="BV8" i="3"/>
  <c r="BW11" i="3" s="1"/>
  <c r="BY12" i="3" s="1"/>
  <c r="BU8" i="3"/>
  <c r="BV11" i="3" s="1"/>
  <c r="BX12" i="3" s="1"/>
  <c r="BT8" i="3"/>
  <c r="BU11" i="3" s="1"/>
  <c r="BW12" i="3" s="1"/>
  <c r="BS8" i="3"/>
  <c r="BT11" i="3" s="1"/>
  <c r="BV12" i="3" s="1"/>
  <c r="BR8" i="3"/>
  <c r="BS11" i="3" s="1"/>
  <c r="BU12" i="3" s="1"/>
  <c r="BQ8" i="3"/>
  <c r="BR11" i="3" s="1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D11" i="3" s="1"/>
  <c r="BB8" i="3"/>
  <c r="BA8" i="3"/>
  <c r="AZ8" i="3"/>
  <c r="BA11" i="3" s="1"/>
  <c r="AY8" i="3"/>
  <c r="AZ11" i="3" s="1"/>
  <c r="AX8" i="3"/>
  <c r="AY11" i="3" s="1"/>
  <c r="AW8" i="3"/>
  <c r="AX11" i="3" s="1"/>
  <c r="AV8" i="3"/>
  <c r="AW11" i="3" s="1"/>
  <c r="AU8" i="3"/>
  <c r="AT8" i="3"/>
  <c r="AS8" i="3"/>
  <c r="AT11" i="3" s="1"/>
  <c r="AR8" i="3"/>
  <c r="AQ8" i="3"/>
  <c r="AR11" i="3" s="1"/>
  <c r="AT12" i="3" s="1"/>
  <c r="AP8" i="3"/>
  <c r="AQ11" i="3" s="1"/>
  <c r="AO8" i="3"/>
  <c r="AN8" i="3"/>
  <c r="AM8" i="3"/>
  <c r="AN11" i="3" s="1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B2" i="3"/>
  <c r="D88" i="3" l="1"/>
  <c r="C89" i="3" s="1"/>
  <c r="D89" i="3" s="1"/>
  <c r="C90" i="3"/>
  <c r="D90" i="3" s="1"/>
  <c r="C91" i="3"/>
  <c r="D91" i="3" s="1"/>
  <c r="C92" i="3" s="1"/>
  <c r="D92" i="3" s="1"/>
  <c r="C93" i="3" s="1"/>
  <c r="D93" i="3" s="1"/>
  <c r="C94" i="3" s="1"/>
  <c r="D94" i="3" s="1"/>
  <c r="C36" i="3"/>
  <c r="D36" i="3" s="1"/>
  <c r="C37" i="3" s="1"/>
  <c r="D37" i="3" s="1"/>
  <c r="C38" i="3" s="1"/>
  <c r="D38" i="3" s="1"/>
  <c r="C71" i="3"/>
  <c r="D23" i="3"/>
  <c r="C24" i="3" s="1"/>
  <c r="D24" i="3" s="1"/>
  <c r="C25" i="3" s="1"/>
  <c r="D25" i="3" s="1"/>
  <c r="C26" i="3" s="1"/>
  <c r="D26" i="3" s="1"/>
  <c r="C27" i="3" s="1"/>
  <c r="D27" i="3" s="1"/>
  <c r="C28" i="3" s="1"/>
  <c r="D28" i="3" s="1"/>
  <c r="C29" i="3" s="1"/>
  <c r="D29" i="3" s="1"/>
  <c r="C30" i="3" s="1"/>
  <c r="D30" i="3" s="1"/>
  <c r="C31" i="3" s="1"/>
  <c r="D31" i="3" s="1"/>
  <c r="C32" i="3" s="1"/>
  <c r="D32" i="3" s="1"/>
  <c r="C33" i="3" s="1"/>
  <c r="D33" i="3" s="1"/>
  <c r="C34" i="3" s="1"/>
  <c r="D34" i="3" s="1"/>
  <c r="T11" i="3"/>
  <c r="AQ10" i="3"/>
  <c r="AP10" i="3"/>
  <c r="AO10" i="3"/>
  <c r="AM10" i="3"/>
  <c r="AL10" i="3"/>
  <c r="AK10" i="3"/>
  <c r="AJ10" i="3"/>
  <c r="AI10" i="3"/>
  <c r="AH10" i="3"/>
  <c r="AB10" i="3"/>
  <c r="AA10" i="3"/>
  <c r="Z10" i="3"/>
  <c r="Y10" i="3"/>
  <c r="X10" i="3"/>
  <c r="W10" i="3"/>
  <c r="AS11" i="3"/>
  <c r="DY10" i="3" s="1"/>
  <c r="EF10" i="3"/>
  <c r="ED10" i="3"/>
  <c r="EC10" i="3"/>
  <c r="EB10" i="3"/>
  <c r="EA10" i="3"/>
  <c r="DZ10" i="3"/>
  <c r="AS10" i="3"/>
  <c r="CU10" i="3"/>
  <c r="CT10" i="3"/>
  <c r="CS10" i="3"/>
  <c r="CR10" i="3"/>
  <c r="CQ10" i="3"/>
  <c r="CP10" i="3"/>
  <c r="CO10" i="3"/>
  <c r="CN10" i="3"/>
  <c r="S10" i="3"/>
  <c r="C39" i="3" l="1"/>
  <c r="D39" i="3" s="1"/>
  <c r="C40" i="3" s="1"/>
  <c r="D40" i="3" s="1"/>
  <c r="D71" i="3"/>
  <c r="AG10" i="3"/>
  <c r="AF10" i="3"/>
  <c r="AE10" i="3"/>
  <c r="AD10" i="3"/>
  <c r="AC10" i="3"/>
  <c r="AN10" i="3"/>
  <c r="CM10" i="3"/>
  <c r="CL10" i="3"/>
  <c r="CK10" i="3"/>
  <c r="CJ10" i="3"/>
  <c r="CI10" i="3"/>
  <c r="CH10" i="3"/>
  <c r="CG10" i="3"/>
  <c r="AR10" i="3"/>
  <c r="V10" i="3"/>
  <c r="T10" i="3"/>
  <c r="CF10" i="3"/>
  <c r="CE10" i="3"/>
  <c r="CD10" i="3"/>
  <c r="CC10" i="3"/>
  <c r="CB10" i="3"/>
  <c r="CA10" i="3"/>
  <c r="U10" i="3"/>
  <c r="DX10" i="3"/>
  <c r="DW10" i="3"/>
  <c r="DV10" i="3"/>
  <c r="DU10" i="3"/>
  <c r="DT10" i="3"/>
  <c r="DS10" i="3"/>
  <c r="DQ10" i="3"/>
  <c r="DP10" i="3"/>
  <c r="DO10" i="3"/>
  <c r="BC10" i="3"/>
  <c r="AY10" i="3"/>
  <c r="AW10" i="3"/>
  <c r="DR10" i="3"/>
  <c r="BE10" i="3"/>
  <c r="BA10" i="3"/>
  <c r="AU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D10" i="3"/>
  <c r="BB10" i="3"/>
  <c r="AZ10" i="3"/>
  <c r="AX10" i="3"/>
  <c r="AT10" i="3"/>
  <c r="DC10" i="3"/>
  <c r="DB10" i="3"/>
  <c r="DA10" i="3"/>
  <c r="CY10" i="3"/>
  <c r="CW10" i="3"/>
  <c r="DN10" i="3"/>
  <c r="DM10" i="3"/>
  <c r="DF10" i="3"/>
  <c r="DD10" i="3"/>
  <c r="AV10" i="3"/>
  <c r="CZ10" i="3"/>
  <c r="CX10" i="3"/>
  <c r="CV10" i="3"/>
  <c r="DI10" i="3"/>
  <c r="DG10" i="3"/>
  <c r="DL10" i="3"/>
  <c r="DK10" i="3"/>
  <c r="DJ10" i="3"/>
  <c r="DH10" i="3"/>
  <c r="DE10" i="3"/>
  <c r="EE10" i="3"/>
  <c r="C42" i="3" l="1"/>
  <c r="D42" i="3" s="1"/>
  <c r="C67" i="3" s="1"/>
  <c r="D67" i="3" s="1"/>
  <c r="C68" i="3" s="1"/>
  <c r="D68" i="3" s="1"/>
  <c r="C69" i="3" s="1"/>
  <c r="D69" i="3" s="1"/>
  <c r="C41" i="3"/>
  <c r="D41" i="3" s="1"/>
  <c r="C72" i="3"/>
  <c r="D72" i="3" s="1"/>
  <c r="C73" i="3" s="1"/>
  <c r="D73" i="3" s="1"/>
  <c r="C74" i="3" s="1"/>
  <c r="D74" i="3" s="1"/>
  <c r="C75" i="3" s="1"/>
  <c r="C83" i="3"/>
  <c r="D83" i="3" s="1"/>
  <c r="C84" i="3" s="1"/>
  <c r="D84" i="3" s="1"/>
  <c r="C85" i="3" s="1"/>
  <c r="D85" i="3" s="1"/>
  <c r="C81" i="3" s="1"/>
  <c r="D81" i="3" s="1"/>
  <c r="C82" i="3" s="1"/>
  <c r="D82" i="3" s="1"/>
  <c r="C43" i="3" l="1"/>
  <c r="D43" i="3" s="1"/>
  <c r="C50" i="3" s="1"/>
  <c r="D50" i="3" s="1"/>
  <c r="C51" i="3" s="1"/>
  <c r="D51" i="3" s="1"/>
  <c r="C52" i="3" s="1"/>
  <c r="D52" i="3" s="1"/>
  <c r="C44" i="3"/>
  <c r="D75" i="3"/>
  <c r="C76" i="3" s="1"/>
  <c r="D76" i="3" s="1"/>
  <c r="C78" i="3" s="1"/>
  <c r="D78" i="3" s="1"/>
  <c r="C79" i="3" s="1"/>
  <c r="D79" i="3" s="1"/>
  <c r="C80" i="3" s="1"/>
  <c r="D80" i="3" s="1"/>
  <c r="C77" i="3"/>
  <c r="D77" i="3" s="1"/>
  <c r="C53" i="3" l="1"/>
  <c r="D53" i="3" s="1"/>
  <c r="C55" i="3"/>
  <c r="D55" i="3" s="1"/>
  <c r="C56" i="3" s="1"/>
  <c r="D56" i="3" s="1"/>
  <c r="C57" i="3" s="1"/>
  <c r="D57" i="3" s="1"/>
  <c r="C58" i="3" s="1"/>
  <c r="D58" i="3" s="1"/>
  <c r="C61" i="3" s="1"/>
  <c r="D61" i="3" s="1"/>
  <c r="C64" i="3" s="1"/>
  <c r="D64" i="3" s="1"/>
  <c r="C65" i="3" s="1"/>
  <c r="D65" i="3" s="1"/>
  <c r="C66" i="3" s="1"/>
  <c r="D66" i="3" s="1"/>
  <c r="D44" i="3"/>
  <c r="C45" i="3" s="1"/>
  <c r="D45" i="3" s="1"/>
  <c r="C46" i="3"/>
  <c r="C59" i="3" l="1"/>
  <c r="D59" i="3" s="1"/>
  <c r="C54" i="3"/>
  <c r="D54" i="3" s="1"/>
  <c r="C60" i="3" s="1"/>
  <c r="D60" i="3" s="1"/>
  <c r="C62" i="3" s="1"/>
  <c r="D62" i="3" s="1"/>
  <c r="C63" i="3" s="1"/>
  <c r="D63" i="3" s="1"/>
  <c r="D46" i="3"/>
  <c r="C47" i="3"/>
  <c r="D47" i="3" s="1"/>
  <c r="C48" i="3" s="1"/>
  <c r="D48" i="3" s="1"/>
  <c r="C49" i="3" s="1"/>
  <c r="D49" i="3" s="1"/>
</calcChain>
</file>

<file path=xl/sharedStrings.xml><?xml version="1.0" encoding="utf-8"?>
<sst xmlns="http://schemas.openxmlformats.org/spreadsheetml/2006/main" count="858" uniqueCount="441">
  <si>
    <t>施工计划总览</t>
  </si>
  <si>
    <t>本项目施工进度及人员投入安排汇总</t>
  </si>
  <si>
    <t>计划章节</t>
  </si>
  <si>
    <t>11.1 施工计划表 / 11.2 施工人员安排</t>
  </si>
  <si>
    <t>区域</t>
  </si>
  <si>
    <t>任务数</t>
  </si>
  <si>
    <t>最早开始</t>
  </si>
  <si>
    <t>最晚结束</t>
  </si>
  <si>
    <t>备注</t>
  </si>
  <si>
    <t>计划开始</t>
  </si>
  <si>
    <t>分拣机区域</t>
  </si>
  <si>
    <t/>
  </si>
  <si>
    <t>计划结束</t>
  </si>
  <si>
    <t>阁楼货架区域</t>
  </si>
  <si>
    <t>有日期施工任务</t>
  </si>
  <si>
    <t>WCS硬件部署</t>
  </si>
  <si>
    <t>施工管理人员</t>
  </si>
  <si>
    <t>施工队伍总人数</t>
  </si>
  <si>
    <t>施工阶段</t>
  </si>
  <si>
    <t>现场机电安装、单机调试、WCS硬件部署</t>
  </si>
  <si>
    <t>11.1 施工计划表</t>
  </si>
  <si>
    <t>本项目施工进度计划如下：</t>
  </si>
  <si>
    <t>序号</t>
  </si>
  <si>
    <t>现场机电安装</t>
  </si>
  <si>
    <t>开始时间</t>
  </si>
  <si>
    <t>结束时间</t>
  </si>
  <si>
    <t>工期(天)</t>
  </si>
  <si>
    <t>1</t>
  </si>
  <si>
    <t>分拣机区域-机械电气安装-单机调试</t>
  </si>
  <si>
    <t>1.1</t>
  </si>
  <si>
    <t>定位画线</t>
  </si>
  <si>
    <t>1.2</t>
  </si>
  <si>
    <t>钢平台搭建</t>
  </si>
  <si>
    <t>1.3</t>
  </si>
  <si>
    <t>分拣机安装</t>
  </si>
  <si>
    <t>1.3.1</t>
  </si>
  <si>
    <t xml:space="preserve">  机械安装（框架+小车）</t>
  </si>
  <si>
    <t>1.3.2</t>
  </si>
  <si>
    <t xml:space="preserve">  电气安装</t>
  </si>
  <si>
    <t>1.3.3</t>
  </si>
  <si>
    <t xml:space="preserve">  电气调试</t>
  </si>
  <si>
    <t>1.4</t>
  </si>
  <si>
    <t>输送线安装</t>
  </si>
  <si>
    <t>1.4.1</t>
  </si>
  <si>
    <t xml:space="preserve">  W2-4 线体</t>
  </si>
  <si>
    <t>1.4.2</t>
  </si>
  <si>
    <t xml:space="preserve">  W2-3 输送线机械安装</t>
  </si>
  <si>
    <t>1.4.3</t>
  </si>
  <si>
    <t xml:space="preserve">  W2-3 输送线电气安装</t>
  </si>
  <si>
    <t>1.4.4</t>
  </si>
  <si>
    <t xml:space="preserve">  W2-4 单机调试</t>
  </si>
  <si>
    <t>1.4.5</t>
  </si>
  <si>
    <t xml:space="preserve">  W2-3 单机调试</t>
  </si>
  <si>
    <t>1.5</t>
  </si>
  <si>
    <t>螺旋机</t>
  </si>
  <si>
    <t>1.5.1</t>
  </si>
  <si>
    <t xml:space="preserve">  机械安装</t>
  </si>
  <si>
    <t>1.5.2</t>
  </si>
  <si>
    <t>1.5.3</t>
  </si>
  <si>
    <t xml:space="preserve">  单机调试</t>
  </si>
  <si>
    <t>1.6</t>
  </si>
  <si>
    <t>悬挂链</t>
  </si>
  <si>
    <t>1.6.1</t>
  </si>
  <si>
    <t>1.6.2</t>
  </si>
  <si>
    <t>1.6.3</t>
  </si>
  <si>
    <t>2</t>
  </si>
  <si>
    <t>2.1</t>
  </si>
  <si>
    <t>阁楼货架三层</t>
  </si>
  <si>
    <t>2.1.1</t>
  </si>
  <si>
    <t xml:space="preserve">  安装准备</t>
  </si>
  <si>
    <t>2.1.2</t>
  </si>
  <si>
    <t xml:space="preserve">  钢平台搭建</t>
  </si>
  <si>
    <t>2.1.3</t>
  </si>
  <si>
    <t>2.1.4</t>
  </si>
  <si>
    <t>2.1.5</t>
  </si>
  <si>
    <t xml:space="preserve">  PLC 电气调试</t>
  </si>
  <si>
    <t>2.2</t>
  </si>
  <si>
    <t>阁楼货架二层</t>
  </si>
  <si>
    <t>2.2.1</t>
  </si>
  <si>
    <t>2.2.2</t>
  </si>
  <si>
    <t>2.2.3</t>
  </si>
  <si>
    <t>2.3</t>
  </si>
  <si>
    <t>阁楼货架一层弹出口</t>
  </si>
  <si>
    <t>2.3.1</t>
  </si>
  <si>
    <t>2.3.2</t>
  </si>
  <si>
    <t>2.3.3</t>
  </si>
  <si>
    <t>3</t>
  </si>
  <si>
    <t>WCS 硬件部署</t>
  </si>
  <si>
    <t>3.1</t>
  </si>
  <si>
    <t>服务器硬件部署</t>
  </si>
  <si>
    <t>3.2</t>
  </si>
  <si>
    <t>网络施工</t>
  </si>
  <si>
    <t>3.3</t>
  </si>
  <si>
    <t>网络测试</t>
  </si>
  <si>
    <t>收货计划</t>
  </si>
  <si>
    <t>TTL</t>
  </si>
  <si>
    <t>TOPSPORTS BATCH 1</t>
  </si>
  <si>
    <t>RPOC</t>
  </si>
  <si>
    <t>KIDS</t>
  </si>
  <si>
    <t>POUSHENG</t>
  </si>
  <si>
    <t>STO</t>
  </si>
  <si>
    <t>WO</t>
  </si>
  <si>
    <t>IB：Total Receive  Qty</t>
  </si>
  <si>
    <t>Temp Storage Capacity</t>
  </si>
  <si>
    <t xml:space="preserve"> Temp Storage Capacity Occupied %</t>
  </si>
  <si>
    <t>Inspection Daily Capacity</t>
  </si>
  <si>
    <t>Putaway</t>
  </si>
  <si>
    <t>OB发货计划</t>
  </si>
  <si>
    <t>2.施工计划</t>
  </si>
  <si>
    <t>施工项（甘特图上数字为施工人数）</t>
  </si>
  <si>
    <t>Start</t>
  </si>
  <si>
    <t>End</t>
  </si>
  <si>
    <t>3.提前改造项</t>
  </si>
  <si>
    <t>W2-4 基建改造：</t>
  </si>
  <si>
    <t>W2-3 基建改造(桥架）</t>
  </si>
  <si>
    <t xml:space="preserve">W1-2 、W2-4墙体开洞: </t>
  </si>
  <si>
    <t>鸡笼货架移除（G22/G23)</t>
  </si>
  <si>
    <t>“滑滑梯”拆除：</t>
  </si>
  <si>
    <t>OB线体拆除： Part 1 （中间两条：W1-2 &amp; W2-1)</t>
  </si>
  <si>
    <t>OB线体拆除： Part 2 (W1-3 &amp; W2-2)</t>
  </si>
  <si>
    <t>服务器硬件部署：</t>
  </si>
  <si>
    <t>空压机房准备：</t>
  </si>
  <si>
    <t>4.运营准备项</t>
  </si>
  <si>
    <t>1. 系统相关</t>
  </si>
  <si>
    <t>运营报表需求</t>
  </si>
  <si>
    <t>倩文、文杰、Tom</t>
  </si>
  <si>
    <t>各部门环节报表需求收集（明确定义字段）</t>
  </si>
  <si>
    <t>报表模版设计</t>
  </si>
  <si>
    <t>输出BI &amp; Dashboard需求</t>
  </si>
  <si>
    <t>张晗、RG、晓伟</t>
  </si>
  <si>
    <t>需求场景、库内展现定位</t>
  </si>
  <si>
    <t>看板字段、模块规划</t>
  </si>
  <si>
    <t>UI界面确认</t>
  </si>
  <si>
    <t>UAT测试脚本准备</t>
  </si>
  <si>
    <t>文杰:海涛、晓伟、Tom</t>
  </si>
  <si>
    <t>场景梳理</t>
  </si>
  <si>
    <t>UAT 初稿校验</t>
  </si>
  <si>
    <t>UAT 终稿</t>
  </si>
  <si>
    <t>库区、道口编码规则</t>
  </si>
  <si>
    <t>Tom/倩文</t>
  </si>
  <si>
    <t>IB 自动创波逻辑</t>
  </si>
  <si>
    <t>文杰</t>
  </si>
  <si>
    <t>新创波逻辑设计（两种波次转化的条件、默认值、阈值、波次容量、优先级顺序</t>
  </si>
  <si>
    <t>创波UI界面确认</t>
  </si>
  <si>
    <t>IB 二次分拣系统设计</t>
  </si>
  <si>
    <t>晓伟</t>
  </si>
  <si>
    <t>二次分拣场景定义</t>
  </si>
  <si>
    <t>二次分拣系统流程</t>
  </si>
  <si>
    <t>系统操作权限、操作规范设定</t>
  </si>
  <si>
    <t>OB 配单逻辑</t>
  </si>
  <si>
    <t>海涛、丹丹</t>
  </si>
  <si>
    <t>2. 流程相关</t>
  </si>
  <si>
    <t>环节流量梳理</t>
  </si>
  <si>
    <t>晓伟、海涛</t>
  </si>
  <si>
    <t>IB / OB 流程图</t>
  </si>
  <si>
    <t>王丹丹</t>
  </si>
  <si>
    <t>全流程节点梳理</t>
  </si>
  <si>
    <t>（IB：收货登记、质检、波次缓存、导入分拣机、打包绑定、码托转运、托区上架、箱区上架、零拣位上架等）</t>
  </si>
  <si>
    <t>（OB: 托盘区补货、阁楼区补货、拣货、包装、分线路等）</t>
  </si>
  <si>
    <t>阁楼区域弹出口布局动线梳理</t>
  </si>
  <si>
    <t>海涛、晓伟</t>
  </si>
  <si>
    <t>全部流程图绘制</t>
  </si>
  <si>
    <t>流程图终版定稿</t>
  </si>
  <si>
    <t>IB / OB SOP</t>
  </si>
  <si>
    <t>梳理操作步骤、作业标准、注意事项</t>
  </si>
  <si>
    <t>SOP 初版编写</t>
  </si>
  <si>
    <t>现场二次实操验证（已具备条件的环节）</t>
  </si>
  <si>
    <t>SOP终稿</t>
  </si>
  <si>
    <t>IB / OB WI</t>
  </si>
  <si>
    <t>岗位作业细节拆解</t>
  </si>
  <si>
    <t>WI 初稿编制</t>
  </si>
  <si>
    <t>WI 终稿</t>
  </si>
  <si>
    <t>WI 梳理异常场景</t>
  </si>
  <si>
    <t>海涛、晓伟、Tom</t>
  </si>
  <si>
    <t>定义运营KPI</t>
  </si>
  <si>
    <t>Alex</t>
  </si>
  <si>
    <t>上输送线、上分拣机的标准制定</t>
  </si>
  <si>
    <t>3. 培训体系建立</t>
  </si>
  <si>
    <t>岗位职责确立</t>
  </si>
  <si>
    <t>组织架构梳理</t>
  </si>
  <si>
    <t>新流程下所有员工的岗前培训</t>
  </si>
  <si>
    <t>培训资料准备</t>
  </si>
  <si>
    <t>培训计划制定</t>
  </si>
  <si>
    <t>现场实操带教</t>
  </si>
  <si>
    <t>考核验收到岗</t>
  </si>
  <si>
    <t>4. 设备维护准备</t>
  </si>
  <si>
    <t>验收测试计划</t>
  </si>
  <si>
    <t>顾健锋、毕建刚</t>
  </si>
  <si>
    <t>验收范围、验收标准、验收流程</t>
  </si>
  <si>
    <t>编写应急预案手册</t>
  </si>
  <si>
    <t>应急场景、应对流程、人员分工</t>
  </si>
  <si>
    <t>建立设备点检制度</t>
  </si>
  <si>
    <t>点检清单、标准、频次、责任人、表单设计，落地制度</t>
  </si>
  <si>
    <t>建立备件管理库</t>
  </si>
  <si>
    <t>维保人员储备</t>
  </si>
  <si>
    <t>5.系统开发测试</t>
  </si>
  <si>
    <t>环节</t>
  </si>
  <si>
    <t>内容</t>
  </si>
  <si>
    <t>预计开始时间</t>
  </si>
  <si>
    <t>预计结束时间</t>
  </si>
  <si>
    <t xml:space="preserve">  开发计划</t>
  </si>
  <si>
    <t xml:space="preserve">     WMS接口和功能计划（单元测试随开发同步）</t>
  </si>
  <si>
    <t>入库</t>
  </si>
  <si>
    <t>RFID入库清点</t>
  </si>
  <si>
    <t>RF货物暂存</t>
  </si>
  <si>
    <t>订单波次生成&amp;分拣波次生成</t>
  </si>
  <si>
    <t>WMS扫描收货</t>
  </si>
  <si>
    <t>生成分拣任务&amp;预占库位</t>
  </si>
  <si>
    <t>RF组托</t>
  </si>
  <si>
    <t>RF合并上架-按托</t>
  </si>
  <si>
    <t>RF合并上架-按箱</t>
  </si>
  <si>
    <t>RF快捷上架</t>
  </si>
  <si>
    <t>RF整箱收货</t>
  </si>
  <si>
    <t>RFSTO质检</t>
  </si>
  <si>
    <t>出库</t>
  </si>
  <si>
    <t>RFID出库清点</t>
  </si>
  <si>
    <t>出库复核</t>
  </si>
  <si>
    <t>RFID</t>
  </si>
  <si>
    <t>RFID出库明细请求</t>
  </si>
  <si>
    <t>RFID出库扫描明细回传</t>
  </si>
  <si>
    <t>RFID入库明细请求</t>
  </si>
  <si>
    <t>RFID入库扫描明细回传</t>
  </si>
  <si>
    <t>入库分拣</t>
  </si>
  <si>
    <t>分拣任务下发</t>
  </si>
  <si>
    <t>分拣任务回传</t>
  </si>
  <si>
    <t>出库输送</t>
  </si>
  <si>
    <t>出库补货输送线任务下发</t>
  </si>
  <si>
    <t xml:space="preserve">     WCS接口和功能计划</t>
  </si>
  <si>
    <t>出库流程</t>
  </si>
  <si>
    <t>入库通道机收货</t>
  </si>
  <si>
    <t>波次预分拣缓存区</t>
  </si>
  <si>
    <t>波次投线</t>
  </si>
  <si>
    <t>波次正常分拣</t>
  </si>
  <si>
    <t>波次二次分拣</t>
  </si>
  <si>
    <t>波次分拣建箱</t>
  </si>
  <si>
    <t>自动贴标分拣</t>
  </si>
  <si>
    <t>出库补货到二楼和三楼</t>
  </si>
  <si>
    <t>PDA功能开发</t>
  </si>
  <si>
    <t>WCS基础界面开发</t>
  </si>
  <si>
    <t>WCS-WMS开发</t>
  </si>
  <si>
    <t>WCS</t>
  </si>
  <si>
    <t>WCS-PLC开发</t>
  </si>
  <si>
    <t>WCS-贴标机开发</t>
  </si>
  <si>
    <t>WCS-通道机开发</t>
  </si>
  <si>
    <t>WCS-电子标签开发</t>
  </si>
  <si>
    <t>单元测试</t>
  </si>
  <si>
    <t>WCS-WMS接口模拟测试</t>
  </si>
  <si>
    <t>WCS-PLC通讯模拟测试</t>
  </si>
  <si>
    <t>WCS-贴标机模拟测试</t>
  </si>
  <si>
    <t>WCS-通道机测试</t>
  </si>
  <si>
    <t>WCS-电子标签模拟测试</t>
  </si>
  <si>
    <t>WCS全流程模拟测试</t>
  </si>
  <si>
    <t>测试用例</t>
  </si>
  <si>
    <t>WMS功能测试用例</t>
  </si>
  <si>
    <t>WCS功能测试用例</t>
  </si>
  <si>
    <t>测试用例审核</t>
  </si>
  <si>
    <t>SIT 集成测试清单</t>
  </si>
  <si>
    <t xml:space="preserve">     SIT 集成测试清单（WMS-WCS接口模块）</t>
  </si>
  <si>
    <t>WCS-PLC</t>
  </si>
  <si>
    <t>WCS-贴标机</t>
  </si>
  <si>
    <t>WCS-通道机</t>
  </si>
  <si>
    <t>WCS-电子标签</t>
  </si>
  <si>
    <t xml:space="preserve">      SIT 集成测试清单（WMS入库 + 出库业务模块）</t>
  </si>
  <si>
    <t xml:space="preserve">      SIT 集成测试清单（WCS模块）</t>
  </si>
  <si>
    <t>WCS 基础界面开发</t>
  </si>
  <si>
    <t>PDA 功能开发</t>
  </si>
  <si>
    <t xml:space="preserve">  UAT测试</t>
  </si>
  <si>
    <t xml:space="preserve">     UAT 用户培训</t>
  </si>
  <si>
    <t>WMS</t>
  </si>
  <si>
    <t>用户操作培训</t>
  </si>
  <si>
    <t>WMS WCS</t>
  </si>
  <si>
    <t>测试用例补充</t>
  </si>
  <si>
    <t xml:space="preserve">     UAT 用户验收测试清单（1轮），不需要Nike Tech 参与，荣庆EDI 推单。</t>
  </si>
  <si>
    <t>分拣</t>
  </si>
  <si>
    <t xml:space="preserve">     UAT 用户验收测试清单（2 轮模拟生产），需要Nike Tech帮忙推单，配合看下回传数据。</t>
  </si>
  <si>
    <t>STO-R（非整箱）</t>
  </si>
  <si>
    <t>RSO（非整箱）</t>
  </si>
  <si>
    <t>STO（整箱）</t>
  </si>
  <si>
    <t>Normal</t>
  </si>
  <si>
    <t>OB计划</t>
  </si>
  <si>
    <t>星期一</t>
  </si>
  <si>
    <t>星期二</t>
  </si>
  <si>
    <t>星期三</t>
  </si>
  <si>
    <t>星期四</t>
  </si>
  <si>
    <t>星期五</t>
  </si>
  <si>
    <t>星期六</t>
  </si>
  <si>
    <t>星期日</t>
  </si>
  <si>
    <t>TOPSPORTS</t>
  </si>
  <si>
    <t>发货量/周</t>
  </si>
  <si>
    <t>百分比</t>
  </si>
  <si>
    <t>Plant/PE</t>
  </si>
  <si>
    <t>Week</t>
  </si>
  <si>
    <t>WK7/1</t>
  </si>
  <si>
    <t>WK7/6</t>
  </si>
  <si>
    <t>WK7/13</t>
  </si>
  <si>
    <t>WK7/20</t>
  </si>
  <si>
    <t>WK7/27</t>
  </si>
  <si>
    <t>Jul TTL</t>
  </si>
  <si>
    <t>WK8/1</t>
  </si>
  <si>
    <t>WK8/3</t>
  </si>
  <si>
    <t>WK8/10</t>
  </si>
  <si>
    <t>WK8/17</t>
  </si>
  <si>
    <t>WK8/24</t>
  </si>
  <si>
    <t>WK8/31</t>
  </si>
  <si>
    <t>Aug TTL</t>
  </si>
  <si>
    <t>WK9/1</t>
  </si>
  <si>
    <t>WK9/7</t>
  </si>
  <si>
    <t>WK9/14</t>
  </si>
  <si>
    <t>WK9/21</t>
  </si>
  <si>
    <t>WK9/28</t>
  </si>
  <si>
    <t>Sep TTL</t>
  </si>
  <si>
    <t>1028</t>
  </si>
  <si>
    <t>Demand</t>
  </si>
  <si>
    <t>日期</t>
  </si>
  <si>
    <t>U4</t>
  </si>
  <si>
    <t>W1</t>
  </si>
  <si>
    <t>W2</t>
  </si>
  <si>
    <t>W3</t>
  </si>
  <si>
    <t>总计</t>
  </si>
  <si>
    <t>7-10万</t>
  </si>
  <si>
    <t>大于10万</t>
  </si>
  <si>
    <t>11.2 施工人员安排</t>
  </si>
  <si>
    <t>施工管理人员及施工队伍投入计划如下：</t>
  </si>
  <si>
    <t>施工管理人员安排</t>
  </si>
  <si>
    <t>岗位</t>
  </si>
  <si>
    <t>人数</t>
  </si>
  <si>
    <t>职责</t>
  </si>
  <si>
    <t>姓名</t>
  </si>
  <si>
    <t>项目经理</t>
  </si>
  <si>
    <t>全面管理、对外协调</t>
  </si>
  <si>
    <t>钱泓</t>
  </si>
  <si>
    <t>现场经理</t>
  </si>
  <si>
    <t>技术管理、方案编制</t>
  </si>
  <si>
    <t>王宁</t>
  </si>
  <si>
    <t>安全员</t>
  </si>
  <si>
    <t>安全管理、安全检查</t>
  </si>
  <si>
    <t>待定</t>
  </si>
  <si>
    <t>质检员</t>
  </si>
  <si>
    <t>质量检查、记录管理</t>
  </si>
  <si>
    <t>林敏</t>
  </si>
  <si>
    <t>管理人员合计</t>
  </si>
  <si>
    <t>施工人员安排</t>
  </si>
  <si>
    <t>施工队</t>
  </si>
  <si>
    <t>施工负责人</t>
  </si>
  <si>
    <t>电工</t>
  </si>
  <si>
    <t>机械工</t>
  </si>
  <si>
    <t>总人数</t>
  </si>
  <si>
    <t>机 械 安 装队</t>
  </si>
  <si>
    <t>电 气 安 装队</t>
  </si>
  <si>
    <t>调 试 工 程师</t>
  </si>
  <si>
    <t>PLC 调试</t>
  </si>
  <si>
    <t>软 件 工 程师</t>
  </si>
  <si>
    <t>软件联调</t>
  </si>
  <si>
    <t>合计</t>
  </si>
  <si>
    <t>OB线体 Part 1 安装</t>
  </si>
  <si>
    <t>OB线体 Part 2 安装</t>
  </si>
  <si>
    <t>W1-3 &amp; W2-1/OB输送线</t>
  </si>
  <si>
    <t>设备拆除</t>
  </si>
  <si>
    <t>定位、安装</t>
  </si>
  <si>
    <t>电气安装、联调</t>
  </si>
  <si>
    <t>W1-2 &amp; W2-2/OB输送线</t>
  </si>
  <si>
    <t>W2-3/钢结构安装</t>
  </si>
  <si>
    <t>钢结构放线（含安全培训）</t>
  </si>
  <si>
    <t>10-13及B-C柱范围钢结构安装</t>
  </si>
  <si>
    <t>10-15及B-E柱范围钢结构安装</t>
  </si>
  <si>
    <t>9-10及C-E柱范围钢结构安装</t>
  </si>
  <si>
    <t>钢结构补漆</t>
  </si>
  <si>
    <t>2号仓库阁楼区三层/钢结构安装</t>
  </si>
  <si>
    <t>7-9及B-D柱范围钢结构安装</t>
  </si>
  <si>
    <t>4-7及B-D柱范围钢结构安装</t>
  </si>
  <si>
    <t>1-4及B-D柱范围钢结构安装</t>
  </si>
  <si>
    <t>1号仓库阁楼区三层/钢结构安装</t>
  </si>
  <si>
    <t>2号仓库1柱-1号仓库14柱范围钢结构安装</t>
  </si>
  <si>
    <t>9-14柱范围钢结构安装</t>
  </si>
  <si>
    <t>5-9柱范围钢结构安装</t>
  </si>
  <si>
    <t>1-5柱范围钢结构安装</t>
  </si>
  <si>
    <t>整体钢结构补漆</t>
  </si>
  <si>
    <t>W2-3&amp;W2-4/输送线安装</t>
  </si>
  <si>
    <t>输送线设备基准墨线安装（含安全培训）</t>
  </si>
  <si>
    <t>14-17柱范围进货输送线机械安装</t>
  </si>
  <si>
    <t>13-14柱范围进货输送线机械安装</t>
  </si>
  <si>
    <t>B-C柱范围输进货送线及发包台机械安装</t>
  </si>
  <si>
    <t>10-11柱范围分拣输送线机械安装</t>
  </si>
  <si>
    <t>10-13及D-E柱范围分拣输送线机械安装</t>
  </si>
  <si>
    <t>13-14柱范围分拣输送线机械安装</t>
  </si>
  <si>
    <t>9-10及D-E柱范围分拣输送线安装</t>
  </si>
  <si>
    <t>8-10及B-D柱范围分拣输送线安装</t>
  </si>
  <si>
    <t>输送线电气桥架安装</t>
  </si>
  <si>
    <t>输送线强弱电线缆敷设</t>
  </si>
  <si>
    <t>输送线控制柜及电器元件安装；</t>
  </si>
  <si>
    <t>输送线电气接线</t>
  </si>
  <si>
    <t>输送线强弱电测通及点位验证</t>
  </si>
  <si>
    <t>输送线单机测试</t>
  </si>
  <si>
    <t>2号仓库阁楼区三层/输送线安装</t>
  </si>
  <si>
    <t>7-9及B-D柱范围输送线机械安装</t>
  </si>
  <si>
    <t>4-7及B-D柱范围输送线机械安装</t>
  </si>
  <si>
    <t>1-4及B-D柱范围输送线机械安装</t>
  </si>
  <si>
    <t>输送线电气安装</t>
  </si>
  <si>
    <t>输送线强弱电测通及点位验证及单机测试</t>
  </si>
  <si>
    <t>1号仓库阁楼区三层/输送线安装</t>
  </si>
  <si>
    <t>2号仓库1柱-1号仓库14柱范围输送线安装</t>
  </si>
  <si>
    <t>9-14柱范围输送线安装</t>
  </si>
  <si>
    <t>5-9柱范围输送线安装</t>
  </si>
  <si>
    <t>1-5柱范围输送线安装</t>
  </si>
  <si>
    <t>2号仓库阁楼区二层/输送线安装</t>
  </si>
  <si>
    <t>输送线机械安装</t>
  </si>
  <si>
    <t>1号仓库阁楼区二层/输送线安装</t>
  </si>
  <si>
    <t>W2-3/螺旋提升机安装</t>
  </si>
  <si>
    <t>螺旋提升机机电安装</t>
  </si>
  <si>
    <t>螺旋提升机强弱电测通及点位验证</t>
  </si>
  <si>
    <t>螺旋提升机单机测试</t>
  </si>
  <si>
    <t>W2-3/分拣机安装</t>
  </si>
  <si>
    <t>围挡安装、分拣机设备放线（含安全培训）</t>
  </si>
  <si>
    <t>10-11柱范围分拣机机械安装</t>
  </si>
  <si>
    <t>B-C柱范围分拣机机械安装</t>
  </si>
  <si>
    <t>13-14柱范围分拣机机械安装</t>
  </si>
  <si>
    <t>D-E柱范围分拣机机械安装</t>
  </si>
  <si>
    <t>分拣机电气桥架安装</t>
  </si>
  <si>
    <t>分拣机强弱电线缆敷设</t>
  </si>
  <si>
    <t>分拣机控制柜及电器元件安装；</t>
  </si>
  <si>
    <t>分拣机电气接线</t>
  </si>
  <si>
    <t>分拣机强弱电测通及点位验证</t>
  </si>
  <si>
    <t>分拣机单机测试</t>
  </si>
  <si>
    <t>W2-3/滑槽安装</t>
  </si>
  <si>
    <t>滑槽设备进场卸货（含安全培训）</t>
  </si>
  <si>
    <t>10-11柱范围滑槽安装</t>
  </si>
  <si>
    <t>13-14柱范围滑槽安装</t>
  </si>
  <si>
    <t>滑槽电气安装</t>
  </si>
  <si>
    <t>滑槽单机测试</t>
  </si>
  <si>
    <t>全区域</t>
  </si>
  <si>
    <t>人员培训</t>
  </si>
  <si>
    <t>SAT</t>
  </si>
  <si>
    <t>爬坡试运行</t>
  </si>
  <si>
    <t>系统最终验收</t>
  </si>
  <si>
    <t>项目上线</t>
  </si>
  <si>
    <t>PLC/WCS/WMS工作事项</t>
  </si>
  <si>
    <t>PLC/WCS/WMS软件分别开发</t>
  </si>
  <si>
    <t>/</t>
  </si>
  <si>
    <t>PLC与WCS/WCS与WMS线上模块化对接</t>
  </si>
  <si>
    <t>PLC与WCS/WCS与WMS模块线下通讯对接</t>
  </si>
  <si>
    <t>全链路负载测试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</si>
</sst>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#,##0,\K"/>
    <numFmt numFmtId="177" formatCode="m/d;@"/>
    <numFmt numFmtId="178" formatCode="#,&quot;k&quot;"/>
    <numFmt numFmtId="179" formatCode="m/d"/>
    <numFmt numFmtId="180" formatCode="yyyy\-mm\-dd"/>
  </numFmts>
  <fonts count="64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12343B"/>
      <name val="Carlito"/>
      <charset val="134"/>
    </font>
    <font>
      <b/>
      <sz val="11"/>
      <color rgb="FF0F4C5C"/>
      <name val="Carlito"/>
      <charset val="134"/>
    </font>
    <font>
      <b/>
      <sz val="11"/>
      <color rgb="FFFFFFFF"/>
      <name val="Carlito"/>
      <charset val="134"/>
    </font>
    <font>
      <sz val="11"/>
      <name val="宋体"/>
      <family val="3"/>
      <charset val="134"/>
    </font>
    <font>
      <b/>
      <sz val="10"/>
      <name val="Helvetica Neue"/>
      <family val="2"/>
    </font>
    <font>
      <b/>
      <sz val="12"/>
      <color theme="0"/>
      <name val="Helvetica Neue"/>
      <family val="2"/>
    </font>
    <font>
      <sz val="10"/>
      <name val="Helvetica light"/>
      <family val="2"/>
    </font>
    <font>
      <sz val="10"/>
      <name val="Helvetica Neue"/>
      <family val="2"/>
    </font>
    <font>
      <b/>
      <sz val="12"/>
      <color rgb="FFFFFF00"/>
      <name val="宋体"/>
      <family val="3"/>
      <charset val="134"/>
    </font>
    <font>
      <b/>
      <sz val="12"/>
      <color rgb="FF000000"/>
      <name val="Calibri"/>
      <family val="2"/>
    </font>
    <font>
      <b/>
      <sz val="10"/>
      <color rgb="FF000000"/>
      <name val="宋体"/>
      <family val="3"/>
      <charset val="134"/>
    </font>
    <font>
      <sz val="9"/>
      <name val="Carlito"/>
      <charset val="134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等线"/>
      <family val="3"/>
      <charset val="134"/>
    </font>
    <font>
      <sz val="11"/>
      <color theme="1"/>
      <name val="Calibri"/>
      <family val="2"/>
      <scheme val="minor"/>
    </font>
    <font>
      <b/>
      <sz val="9"/>
      <color rgb="FFFF0000"/>
      <name val="Carlito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theme="1"/>
      <name val="Calibri"/>
      <family val="2"/>
      <scheme val="minor"/>
    </font>
    <font>
      <sz val="12"/>
      <color rgb="FFFF0000"/>
      <name val="等线"/>
      <family val="3"/>
      <charset val="134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rgb="FFFF0000"/>
      <name val="Calibri"/>
      <family val="2"/>
    </font>
    <font>
      <sz val="12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b/>
      <sz val="11"/>
      <color rgb="FF000000"/>
      <name val="Calibri"/>
      <family val="2"/>
    </font>
    <font>
      <sz val="11"/>
      <color rgb="FFFF0000"/>
      <name val="Carlito"/>
      <charset val="134"/>
    </font>
    <font>
      <b/>
      <sz val="8"/>
      <color rgb="FFFFFFFF"/>
      <name val="Carlito"/>
      <charset val="134"/>
    </font>
    <font>
      <b/>
      <sz val="11"/>
      <color rgb="FF4C3B87"/>
      <name val="Carlito"/>
      <charset val="134"/>
    </font>
    <font>
      <sz val="11"/>
      <color rgb="FFFFFFFF"/>
      <name val="Calibri"/>
      <family val="2"/>
    </font>
    <font>
      <b/>
      <sz val="11"/>
      <color rgb="FF205A31"/>
      <name val="Carlito"/>
      <charset val="134"/>
    </font>
    <font>
      <b/>
      <sz val="11"/>
      <color rgb="FF174A7C"/>
      <name val="Carlito"/>
      <charset val="134"/>
    </font>
    <font>
      <b/>
      <sz val="11"/>
      <color rgb="FF704E00"/>
      <name val="Carlito"/>
      <charset val="134"/>
    </font>
    <font>
      <b/>
      <sz val="11"/>
      <color theme="8"/>
      <name val="Carlito"/>
      <charset val="134"/>
    </font>
    <font>
      <sz val="11"/>
      <color theme="8"/>
      <name val="Carlito"/>
      <charset val="134"/>
    </font>
    <font>
      <sz val="11"/>
      <color theme="0" tint="-0.249977111117893"/>
      <name val="Carlito"/>
      <charset val="134"/>
    </font>
    <font>
      <sz val="6"/>
      <color theme="0" tint="-0.249977111117893"/>
      <name val="Carlito"/>
      <charset val="134"/>
    </font>
    <font>
      <sz val="6"/>
      <name val="Carlito"/>
      <charset val="134"/>
    </font>
    <font>
      <sz val="6"/>
      <color rgb="FFFF0000"/>
      <name val="Carlito"/>
      <charset val="134"/>
    </font>
    <font>
      <b/>
      <sz val="11"/>
      <color theme="1"/>
      <name val="Calibri"/>
      <family val="2"/>
      <scheme val="minor"/>
    </font>
    <font>
      <b/>
      <i/>
      <sz val="10"/>
      <color theme="4"/>
      <name val="Calibri"/>
      <family val="2"/>
      <scheme val="minor"/>
    </font>
    <font>
      <sz val="8"/>
      <color theme="3" tint="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name val="微软雅黑"/>
      <family val="2"/>
      <charset val="134"/>
    </font>
    <font>
      <sz val="9"/>
      <name val="Calibri"/>
      <family val="2"/>
    </font>
    <font>
      <b/>
      <sz val="14"/>
      <color rgb="FF00A3F5"/>
      <name val="微软雅黑"/>
      <family val="2"/>
      <charset val="134"/>
    </font>
    <font>
      <sz val="10"/>
      <name val="微软雅黑"/>
      <family val="2"/>
      <charset val="134"/>
    </font>
    <font>
      <b/>
      <sz val="6"/>
      <name val="微软雅黑"/>
      <family val="2"/>
      <charset val="134"/>
    </font>
    <font>
      <b/>
      <sz val="10"/>
      <name val="微软雅黑"/>
      <family val="2"/>
      <charset val="134"/>
    </font>
    <font>
      <sz val="6"/>
      <name val="微软雅黑"/>
      <family val="2"/>
      <charset val="134"/>
    </font>
    <font>
      <sz val="10"/>
      <name val="等线"/>
      <family val="3"/>
      <charset val="134"/>
    </font>
    <font>
      <sz val="6"/>
      <name val="等线"/>
      <family val="3"/>
      <charset val="134"/>
    </font>
    <font>
      <sz val="11"/>
      <color rgb="FF374151"/>
      <name val="Carlito"/>
      <charset val="134"/>
    </font>
    <font>
      <b/>
      <sz val="11"/>
      <color rgb="FF0F4C5C"/>
      <name val="宋体"/>
      <family val="3"/>
      <charset val="134"/>
    </font>
    <font>
      <sz val="11"/>
      <name val="Carlito"/>
      <charset val="134"/>
    </font>
    <font>
      <sz val="11"/>
      <color rgb="FFFFFF00"/>
      <name val="等线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rgb="FF12343B"/>
        <bgColor indexed="64"/>
      </patternFill>
    </fill>
    <fill>
      <patternFill patternType="solid">
        <fgColor rgb="FFE7F1F0"/>
        <bgColor indexed="64"/>
      </patternFill>
    </fill>
    <fill>
      <patternFill patternType="solid">
        <fgColor rgb="FFDDEDEA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rgb="FFC7DDD8"/>
        <bgColor indexed="64"/>
      </patternFill>
    </fill>
    <fill>
      <patternFill patternType="solid">
        <fgColor rgb="FFF8FBFA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rgb="FFCAD8D5"/>
      </left>
      <right style="thin">
        <color rgb="FFCAD8D5"/>
      </right>
      <top style="thin">
        <color rgb="FFCAD8D5"/>
      </top>
      <bottom style="thin">
        <color rgb="FFCAD8D5"/>
      </bottom>
      <diagonal/>
    </border>
    <border>
      <left/>
      <right style="thin">
        <color rgb="FFCAD8D5"/>
      </right>
      <top style="thin">
        <color rgb="FFCAD8D5"/>
      </top>
      <bottom style="thin">
        <color rgb="FFCAD8D5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9C6C0"/>
      </left>
      <right style="thin">
        <color rgb="FFCAD8D5"/>
      </right>
      <top style="thin">
        <color rgb="FFA9C6C0"/>
      </top>
      <bottom style="thin">
        <color rgb="FFCAD8D5"/>
      </bottom>
      <diagonal/>
    </border>
    <border>
      <left style="thin">
        <color rgb="FFCAD8D5"/>
      </left>
      <right style="thin">
        <color rgb="FFCAD8D5"/>
      </right>
      <top style="thin">
        <color rgb="FFA9C6C0"/>
      </top>
      <bottom style="thin">
        <color rgb="FFCAD8D5"/>
      </bottom>
      <diagonal/>
    </border>
    <border>
      <left style="thin">
        <color rgb="FFCAD8D5"/>
      </left>
      <right style="thin">
        <color rgb="FFA9C6C0"/>
      </right>
      <top style="thin">
        <color rgb="FFA9C6C0"/>
      </top>
      <bottom style="thin">
        <color rgb="FFCAD8D5"/>
      </bottom>
      <diagonal/>
    </border>
    <border>
      <left style="thin">
        <color rgb="FFA9C6C0"/>
      </left>
      <right style="thin">
        <color rgb="FFCAD8D5"/>
      </right>
      <top style="thin">
        <color rgb="FFCAD8D5"/>
      </top>
      <bottom style="thin">
        <color rgb="FFCAD8D5"/>
      </bottom>
      <diagonal/>
    </border>
    <border>
      <left style="thin">
        <color rgb="FFCAD8D5"/>
      </left>
      <right style="thin">
        <color rgb="FFA9C6C0"/>
      </right>
      <top style="thin">
        <color rgb="FFCAD8D5"/>
      </top>
      <bottom style="thin">
        <color rgb="FFCAD8D5"/>
      </bottom>
      <diagonal/>
    </border>
    <border>
      <left style="thin">
        <color rgb="FFA9C6C0"/>
      </left>
      <right style="thin">
        <color rgb="FFCAD8D5"/>
      </right>
      <top style="thin">
        <color rgb="FFCAD8D5"/>
      </top>
      <bottom style="thin">
        <color rgb="FFA9C6C0"/>
      </bottom>
      <diagonal/>
    </border>
    <border>
      <left style="thin">
        <color rgb="FFCAD8D5"/>
      </left>
      <right style="thin">
        <color rgb="FFCAD8D5"/>
      </right>
      <top style="thin">
        <color rgb="FFCAD8D5"/>
      </top>
      <bottom style="thin">
        <color rgb="FFA9C6C0"/>
      </bottom>
      <diagonal/>
    </border>
    <border>
      <left style="thin">
        <color rgb="FFCAD8D5"/>
      </left>
      <right style="thin">
        <color rgb="FFA9C6C0"/>
      </right>
      <top style="thin">
        <color rgb="FFCAD8D5"/>
      </top>
      <bottom style="thin">
        <color rgb="FFA9C6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3" fontId="60" fillId="0" borderId="0">
      <alignment vertical="center"/>
    </xf>
    <xf numFmtId="9" fontId="60" fillId="0" borderId="0">
      <alignment vertical="center"/>
    </xf>
    <xf numFmtId="0" fontId="60" fillId="0" borderId="0"/>
    <xf numFmtId="0" fontId="19" fillId="0" borderId="0">
      <alignment vertical="center"/>
    </xf>
  </cellStyleXfs>
  <cellXfs count="195">
    <xf numFmtId="0" fontId="0" fillId="0" borderId="0" xfId="0" applyAlignment="1"/>
    <xf numFmtId="0" fontId="60" fillId="0" borderId="0" xfId="3" applyAlignment="1">
      <alignment horizontal="center"/>
    </xf>
    <xf numFmtId="0" fontId="60" fillId="0" borderId="0" xfId="3" applyAlignment="1">
      <alignment horizontal="center" wrapText="1"/>
    </xf>
    <xf numFmtId="0" fontId="4" fillId="5" borderId="1" xfId="3" applyFont="1" applyFill="1" applyBorder="1" applyAlignment="1">
      <alignment horizontal="center" wrapText="1"/>
    </xf>
    <xf numFmtId="0" fontId="60" fillId="0" borderId="1" xfId="3" applyBorder="1" applyAlignment="1">
      <alignment horizontal="center" wrapText="1"/>
    </xf>
    <xf numFmtId="0" fontId="5" fillId="0" borderId="1" xfId="3" applyFont="1" applyBorder="1" applyAlignment="1">
      <alignment horizontal="center" wrapText="1"/>
    </xf>
    <xf numFmtId="0" fontId="3" fillId="4" borderId="1" xfId="3" applyFont="1" applyFill="1" applyBorder="1" applyAlignment="1">
      <alignment horizontal="center" wrapText="1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6" fillId="6" borderId="3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49" fontId="7" fillId="7" borderId="0" xfId="0" applyNumberFormat="1" applyFont="1" applyFill="1" applyAlignment="1">
      <alignment horizontal="left" vertical="center"/>
    </xf>
    <xf numFmtId="176" fontId="8" fillId="8" borderId="0" xfId="0" applyNumberFormat="1" applyFont="1" applyFill="1" applyAlignment="1">
      <alignment horizontal="left" vertical="center"/>
    </xf>
    <xf numFmtId="176" fontId="9" fillId="8" borderId="0" xfId="0" applyNumberFormat="1" applyFont="1" applyFill="1" applyAlignment="1">
      <alignment horizontal="right" vertical="center"/>
    </xf>
    <xf numFmtId="176" fontId="9" fillId="9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0" fillId="7" borderId="6" xfId="0" applyFont="1" applyFill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177" fontId="13" fillId="0" borderId="6" xfId="0" applyNumberFormat="1" applyFont="1" applyBorder="1" applyAlignment="1">
      <alignment horizontal="center" vertical="center"/>
    </xf>
    <xf numFmtId="177" fontId="14" fillId="0" borderId="6" xfId="0" applyNumberFormat="1" applyFont="1" applyBorder="1" applyAlignment="1">
      <alignment horizontal="center" vertical="center"/>
    </xf>
    <xf numFmtId="177" fontId="15" fillId="0" borderId="6" xfId="0" applyNumberFormat="1" applyFont="1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 readingOrder="1"/>
    </xf>
    <xf numFmtId="178" fontId="17" fillId="0" borderId="6" xfId="0" applyNumberFormat="1" applyFont="1" applyBorder="1" applyAlignment="1">
      <alignment horizontal="center" vertical="center" wrapText="1" readingOrder="1"/>
    </xf>
    <xf numFmtId="178" fontId="11" fillId="0" borderId="6" xfId="0" applyNumberFormat="1" applyFont="1" applyBorder="1" applyAlignment="1">
      <alignment horizontal="center" vertical="center" wrapText="1" readingOrder="1"/>
    </xf>
    <xf numFmtId="176" fontId="9" fillId="8" borderId="0" xfId="0" applyNumberFormat="1" applyFont="1" applyFill="1" applyAlignment="1">
      <alignment horizontal="center" vertical="center"/>
    </xf>
    <xf numFmtId="178" fontId="11" fillId="0" borderId="7" xfId="0" applyNumberFormat="1" applyFont="1" applyBorder="1" applyAlignment="1">
      <alignment horizontal="center" vertical="center" wrapText="1" readingOrder="1"/>
    </xf>
    <xf numFmtId="178" fontId="18" fillId="0" borderId="6" xfId="1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6" borderId="0" xfId="0" applyFill="1" applyAlignment="1"/>
    <xf numFmtId="0" fontId="19" fillId="10" borderId="0" xfId="4" applyFill="1">
      <alignment vertical="center"/>
    </xf>
    <xf numFmtId="177" fontId="13" fillId="0" borderId="6" xfId="0" applyNumberFormat="1" applyFont="1" applyBorder="1" applyAlignment="1">
      <alignment horizontal="left" vertical="center"/>
    </xf>
    <xf numFmtId="177" fontId="14" fillId="0" borderId="6" xfId="0" applyNumberFormat="1" applyFont="1" applyBorder="1" applyAlignment="1">
      <alignment horizontal="left" vertical="center"/>
    </xf>
    <xf numFmtId="177" fontId="20" fillId="0" borderId="6" xfId="0" applyNumberFormat="1" applyFont="1" applyBorder="1" applyAlignment="1">
      <alignment horizontal="left" vertical="center"/>
    </xf>
    <xf numFmtId="177" fontId="15" fillId="0" borderId="6" xfId="0" applyNumberFormat="1" applyFont="1" applyBorder="1" applyAlignment="1">
      <alignment horizontal="left" vertical="center"/>
    </xf>
    <xf numFmtId="177" fontId="16" fillId="0" borderId="6" xfId="0" applyNumberFormat="1" applyFont="1" applyBorder="1" applyAlignment="1">
      <alignment horizontal="left" vertical="center"/>
    </xf>
    <xf numFmtId="178" fontId="21" fillId="0" borderId="6" xfId="1" applyNumberFormat="1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22" fillId="0" borderId="6" xfId="1" applyNumberFormat="1" applyFont="1" applyBorder="1" applyAlignment="1">
      <alignment horizontal="center" vertical="center"/>
    </xf>
    <xf numFmtId="0" fontId="23" fillId="0" borderId="6" xfId="0" applyFont="1" applyBorder="1">
      <alignment vertical="center"/>
    </xf>
    <xf numFmtId="178" fontId="24" fillId="0" borderId="6" xfId="1" applyNumberFormat="1" applyFont="1" applyBorder="1" applyAlignment="1">
      <alignment horizontal="center" vertical="center"/>
    </xf>
    <xf numFmtId="178" fontId="25" fillId="0" borderId="6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26" fillId="0" borderId="6" xfId="0" applyFont="1" applyBorder="1">
      <alignment vertical="center"/>
    </xf>
    <xf numFmtId="178" fontId="2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26" fillId="0" borderId="6" xfId="0" applyNumberFormat="1" applyFont="1" applyBorder="1" applyAlignment="1">
      <alignment horizontal="center" vertical="center"/>
    </xf>
    <xf numFmtId="178" fontId="25" fillId="0" borderId="6" xfId="4" applyNumberFormat="1" applyFont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center" vertical="center" wrapText="1" readingOrder="1"/>
    </xf>
    <xf numFmtId="9" fontId="21" fillId="0" borderId="6" xfId="2" applyFont="1" applyBorder="1" applyAlignment="1">
      <alignment horizontal="right" vertical="center"/>
    </xf>
    <xf numFmtId="178" fontId="28" fillId="0" borderId="6" xfId="1" applyNumberFormat="1" applyFont="1" applyBorder="1" applyAlignment="1">
      <alignment horizontal="center" vertical="center"/>
    </xf>
    <xf numFmtId="0" fontId="28" fillId="0" borderId="6" xfId="1" applyNumberFormat="1" applyFont="1" applyBorder="1" applyAlignment="1">
      <alignment horizontal="center" vertical="center"/>
    </xf>
    <xf numFmtId="178" fontId="17" fillId="6" borderId="6" xfId="0" applyNumberFormat="1" applyFont="1" applyFill="1" applyBorder="1" applyAlignment="1">
      <alignment horizontal="center" vertical="center" wrapText="1" readingOrder="1"/>
    </xf>
    <xf numFmtId="178" fontId="11" fillId="6" borderId="6" xfId="0" applyNumberFormat="1" applyFont="1" applyFill="1" applyBorder="1" applyAlignment="1">
      <alignment horizontal="center" vertical="center" wrapText="1" readingOrder="1"/>
    </xf>
    <xf numFmtId="178" fontId="29" fillId="6" borderId="6" xfId="1" applyNumberFormat="1" applyFont="1" applyFill="1" applyBorder="1" applyAlignment="1">
      <alignment horizontal="center" vertical="center"/>
    </xf>
    <xf numFmtId="178" fontId="30" fillId="6" borderId="6" xfId="1" applyNumberFormat="1" applyFont="1" applyFill="1" applyBorder="1" applyAlignment="1">
      <alignment horizontal="center" vertical="center"/>
    </xf>
    <xf numFmtId="178" fontId="31" fillId="6" borderId="6" xfId="0" applyNumberFormat="1" applyFont="1" applyFill="1" applyBorder="1" applyAlignment="1">
      <alignment horizontal="center" vertical="center" wrapText="1" readingOrder="1"/>
    </xf>
    <xf numFmtId="178" fontId="30" fillId="0" borderId="6" xfId="1" applyNumberFormat="1" applyFont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30" fillId="6" borderId="6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 readingOrder="1"/>
    </xf>
    <xf numFmtId="178" fontId="17" fillId="0" borderId="0" xfId="0" applyNumberFormat="1" applyFont="1" applyAlignment="1">
      <alignment horizontal="center" vertical="center" wrapText="1" readingOrder="1"/>
    </xf>
    <xf numFmtId="0" fontId="32" fillId="0" borderId="0" xfId="0" applyFont="1">
      <alignment vertical="center"/>
    </xf>
    <xf numFmtId="0" fontId="4" fillId="11" borderId="1" xfId="3" applyFont="1" applyFill="1" applyBorder="1" applyAlignment="1">
      <alignment horizontal="left" vertical="top" wrapText="1"/>
    </xf>
    <xf numFmtId="0" fontId="33" fillId="11" borderId="1" xfId="3" applyFont="1" applyFill="1" applyBorder="1" applyAlignment="1">
      <alignment wrapText="1"/>
    </xf>
    <xf numFmtId="0" fontId="4" fillId="11" borderId="1" xfId="3" applyFont="1" applyFill="1" applyBorder="1" applyAlignment="1">
      <alignment wrapText="1"/>
    </xf>
    <xf numFmtId="179" fontId="33" fillId="11" borderId="1" xfId="3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5" fillId="12" borderId="1" xfId="0" applyFont="1" applyFill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60" fillId="0" borderId="1" xfId="3" applyBorder="1" applyAlignment="1">
      <alignment wrapText="1"/>
    </xf>
    <xf numFmtId="0" fontId="34" fillId="0" borderId="1" xfId="3" applyFont="1" applyBorder="1" applyAlignment="1">
      <alignment horizontal="center" wrapText="1"/>
    </xf>
    <xf numFmtId="0" fontId="36" fillId="0" borderId="1" xfId="3" applyFont="1" applyBorder="1" applyAlignment="1">
      <alignment horizontal="center" wrapText="1"/>
    </xf>
    <xf numFmtId="0" fontId="37" fillId="0" borderId="1" xfId="3" applyFont="1" applyBorder="1" applyAlignment="1">
      <alignment horizontal="center" wrapText="1"/>
    </xf>
    <xf numFmtId="0" fontId="38" fillId="0" borderId="1" xfId="3" applyFont="1" applyBorder="1" applyAlignment="1">
      <alignment horizontal="center" wrapText="1"/>
    </xf>
    <xf numFmtId="0" fontId="39" fillId="0" borderId="1" xfId="3" applyFont="1" applyBorder="1" applyAlignment="1">
      <alignment horizontal="center" wrapText="1"/>
    </xf>
    <xf numFmtId="0" fontId="40" fillId="0" borderId="1" xfId="3" applyFont="1" applyBorder="1" applyAlignment="1">
      <alignment horizontal="center" wrapText="1"/>
    </xf>
    <xf numFmtId="0" fontId="10" fillId="7" borderId="7" xfId="0" applyFont="1" applyFill="1" applyBorder="1" applyAlignment="1">
      <alignment horizontal="center" vertical="center" wrapText="1" readingOrder="1"/>
    </xf>
    <xf numFmtId="0" fontId="41" fillId="0" borderId="8" xfId="0" applyFont="1" applyBorder="1" applyAlignment="1">
      <alignment horizontal="center"/>
    </xf>
    <xf numFmtId="0" fontId="41" fillId="0" borderId="8" xfId="0" applyFont="1" applyBorder="1" applyAlignment="1"/>
    <xf numFmtId="177" fontId="42" fillId="0" borderId="8" xfId="0" applyNumberFormat="1" applyFont="1" applyBorder="1" applyAlignment="1"/>
    <xf numFmtId="0" fontId="60" fillId="0" borderId="8" xfId="3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/>
    <xf numFmtId="177" fontId="43" fillId="0" borderId="8" xfId="0" applyNumberFormat="1" applyFont="1" applyBorder="1" applyAlignment="1"/>
    <xf numFmtId="0" fontId="0" fillId="8" borderId="8" xfId="0" applyFill="1" applyBorder="1" applyAlignment="1">
      <alignment horizontal="center"/>
    </xf>
    <xf numFmtId="0" fontId="32" fillId="8" borderId="8" xfId="0" applyFont="1" applyFill="1" applyBorder="1" applyAlignment="1"/>
    <xf numFmtId="177" fontId="44" fillId="8" borderId="8" xfId="0" applyNumberFormat="1" applyFont="1" applyFill="1" applyBorder="1" applyAlignment="1"/>
    <xf numFmtId="0" fontId="0" fillId="14" borderId="8" xfId="0" applyFill="1" applyBorder="1" applyAlignment="1">
      <alignment horizontal="center"/>
    </xf>
    <xf numFmtId="0" fontId="40" fillId="14" borderId="8" xfId="0" applyFont="1" applyFill="1" applyBorder="1" applyAlignment="1"/>
    <xf numFmtId="177" fontId="43" fillId="14" borderId="8" xfId="0" applyNumberFormat="1" applyFont="1" applyFill="1" applyBorder="1" applyAlignment="1"/>
    <xf numFmtId="177" fontId="43" fillId="0" borderId="0" xfId="0" applyNumberFormat="1" applyFont="1" applyAlignment="1"/>
    <xf numFmtId="0" fontId="45" fillId="10" borderId="9" xfId="4" applyFont="1" applyFill="1" applyBorder="1">
      <alignment vertical="center"/>
    </xf>
    <xf numFmtId="0" fontId="19" fillId="10" borderId="9" xfId="4" applyFill="1" applyBorder="1">
      <alignment vertical="center"/>
    </xf>
    <xf numFmtId="0" fontId="46" fillId="10" borderId="10" xfId="4" applyFont="1" applyFill="1" applyBorder="1" applyAlignment="1">
      <alignment horizontal="left" vertical="center"/>
    </xf>
    <xf numFmtId="0" fontId="47" fillId="10" borderId="10" xfId="4" applyFont="1" applyFill="1" applyBorder="1" applyAlignment="1">
      <alignment horizontal="center" vertical="center"/>
    </xf>
    <xf numFmtId="177" fontId="48" fillId="10" borderId="10" xfId="4" applyNumberFormat="1" applyFont="1" applyFill="1" applyBorder="1">
      <alignment vertical="center"/>
    </xf>
    <xf numFmtId="0" fontId="0" fillId="15" borderId="8" xfId="0" applyFill="1" applyBorder="1" applyAlignment="1"/>
    <xf numFmtId="0" fontId="16" fillId="10" borderId="10" xfId="4" applyFont="1" applyFill="1" applyBorder="1" applyAlignment="1">
      <alignment horizontal="left" vertical="center"/>
    </xf>
    <xf numFmtId="177" fontId="48" fillId="10" borderId="11" xfId="4" applyNumberFormat="1" applyFont="1" applyFill="1" applyBorder="1">
      <alignment vertical="center"/>
    </xf>
    <xf numFmtId="0" fontId="49" fillId="10" borderId="10" xfId="4" applyFont="1" applyFill="1" applyBorder="1" applyAlignment="1">
      <alignment horizontal="left" vertical="center"/>
    </xf>
    <xf numFmtId="0" fontId="50" fillId="10" borderId="10" xfId="4" applyFont="1" applyFill="1" applyBorder="1" applyAlignment="1">
      <alignment horizontal="left" vertical="center"/>
    </xf>
    <xf numFmtId="0" fontId="51" fillId="16" borderId="12" xfId="0" applyFont="1" applyFill="1" applyBorder="1">
      <alignment vertical="center"/>
    </xf>
    <xf numFmtId="0" fontId="52" fillId="16" borderId="12" xfId="0" applyFont="1" applyFill="1" applyBorder="1" applyAlignment="1">
      <alignment horizontal="left" vertical="center"/>
    </xf>
    <xf numFmtId="177" fontId="53" fillId="16" borderId="12" xfId="0" applyNumberFormat="1" applyFont="1" applyFill="1" applyBorder="1" applyAlignment="1">
      <alignment horizontal="center" vertical="center"/>
    </xf>
    <xf numFmtId="0" fontId="54" fillId="0" borderId="12" xfId="0" applyFont="1" applyBorder="1">
      <alignment vertical="center"/>
    </xf>
    <xf numFmtId="0" fontId="52" fillId="0" borderId="12" xfId="0" applyFont="1" applyBorder="1" applyAlignment="1">
      <alignment horizontal="left" vertical="center"/>
    </xf>
    <xf numFmtId="177" fontId="55" fillId="0" borderId="12" xfId="0" applyNumberFormat="1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/>
    </xf>
    <xf numFmtId="49" fontId="52" fillId="0" borderId="12" xfId="0" applyNumberFormat="1" applyFont="1" applyBorder="1" applyAlignment="1">
      <alignment horizontal="left" vertical="center"/>
    </xf>
    <xf numFmtId="0" fontId="52" fillId="0" borderId="13" xfId="0" applyFont="1" applyBorder="1" applyAlignment="1">
      <alignment horizontal="left" vertical="center"/>
    </xf>
    <xf numFmtId="0" fontId="51" fillId="13" borderId="12" xfId="0" applyFont="1" applyFill="1" applyBorder="1">
      <alignment vertical="center"/>
    </xf>
    <xf numFmtId="0" fontId="52" fillId="16" borderId="12" xfId="0" applyFont="1" applyFill="1" applyBorder="1" applyAlignment="1">
      <alignment horizontal="left" vertical="center" wrapText="1"/>
    </xf>
    <xf numFmtId="177" fontId="53" fillId="16" borderId="12" xfId="0" applyNumberFormat="1" applyFont="1" applyFill="1" applyBorder="1" applyAlignment="1">
      <alignment horizontal="center" vertical="center" wrapText="1"/>
    </xf>
    <xf numFmtId="49" fontId="52" fillId="0" borderId="12" xfId="0" applyNumberFormat="1" applyFont="1" applyBorder="1" applyAlignment="1">
      <alignment horizontal="left" vertical="center" wrapText="1"/>
    </xf>
    <xf numFmtId="177" fontId="55" fillId="0" borderId="12" xfId="0" applyNumberFormat="1" applyFont="1" applyBorder="1">
      <alignment vertical="center"/>
    </xf>
    <xf numFmtId="0" fontId="56" fillId="0" borderId="12" xfId="0" applyFont="1" applyBorder="1" applyAlignment="1">
      <alignment horizontal="left" vertical="center"/>
    </xf>
    <xf numFmtId="177" fontId="57" fillId="0" borderId="12" xfId="0" applyNumberFormat="1" applyFont="1" applyBorder="1">
      <alignment vertical="center"/>
    </xf>
    <xf numFmtId="49" fontId="56" fillId="0" borderId="12" xfId="0" applyNumberFormat="1" applyFont="1" applyBorder="1" applyAlignment="1">
      <alignment horizontal="left" vertical="center"/>
    </xf>
    <xf numFmtId="177" fontId="57" fillId="0" borderId="12" xfId="0" applyNumberFormat="1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left" vertical="center"/>
    </xf>
    <xf numFmtId="0" fontId="60" fillId="0" borderId="0" xfId="3" applyAlignment="1">
      <alignment wrapText="1"/>
    </xf>
    <xf numFmtId="0" fontId="4" fillId="5" borderId="1" xfId="3" applyFont="1" applyFill="1" applyBorder="1" applyAlignment="1">
      <alignment wrapText="1"/>
    </xf>
    <xf numFmtId="180" fontId="4" fillId="5" borderId="1" xfId="3" applyNumberFormat="1" applyFont="1" applyFill="1" applyBorder="1" applyAlignment="1">
      <alignment wrapText="1"/>
    </xf>
    <xf numFmtId="1" fontId="4" fillId="5" borderId="1" xfId="3" applyNumberFormat="1" applyFont="1" applyFill="1" applyBorder="1" applyAlignment="1">
      <alignment wrapText="1"/>
    </xf>
    <xf numFmtId="0" fontId="3" fillId="17" borderId="1" xfId="3" applyFont="1" applyFill="1" applyBorder="1" applyAlignment="1">
      <alignment wrapText="1"/>
    </xf>
    <xf numFmtId="180" fontId="3" fillId="17" borderId="1" xfId="3" applyNumberFormat="1" applyFont="1" applyFill="1" applyBorder="1" applyAlignment="1">
      <alignment wrapText="1"/>
    </xf>
    <xf numFmtId="1" fontId="3" fillId="17" borderId="1" xfId="3" applyNumberFormat="1" applyFont="1" applyFill="1" applyBorder="1" applyAlignment="1">
      <alignment wrapText="1"/>
    </xf>
    <xf numFmtId="180" fontId="60" fillId="0" borderId="1" xfId="3" applyNumberFormat="1" applyBorder="1" applyAlignment="1">
      <alignment wrapText="1"/>
    </xf>
    <xf numFmtId="1" fontId="60" fillId="0" borderId="1" xfId="3" applyNumberFormat="1" applyBorder="1" applyAlignment="1">
      <alignment wrapText="1"/>
    </xf>
    <xf numFmtId="0" fontId="58" fillId="0" borderId="1" xfId="3" applyFont="1" applyBorder="1" applyAlignment="1">
      <alignment wrapText="1"/>
    </xf>
    <xf numFmtId="0" fontId="3" fillId="4" borderId="1" xfId="3" applyFont="1" applyFill="1" applyBorder="1" applyAlignment="1">
      <alignment wrapText="1"/>
    </xf>
    <xf numFmtId="180" fontId="3" fillId="4" borderId="1" xfId="3" applyNumberFormat="1" applyFont="1" applyFill="1" applyBorder="1" applyAlignment="1">
      <alignment wrapText="1"/>
    </xf>
    <xf numFmtId="1" fontId="3" fillId="4" borderId="1" xfId="3" applyNumberFormat="1" applyFont="1" applyFill="1" applyBorder="1" applyAlignment="1">
      <alignment wrapText="1"/>
    </xf>
    <xf numFmtId="0" fontId="59" fillId="4" borderId="1" xfId="3" applyFont="1" applyFill="1" applyBorder="1" applyAlignment="1">
      <alignment wrapText="1"/>
    </xf>
    <xf numFmtId="0" fontId="60" fillId="18" borderId="1" xfId="3" applyFill="1" applyBorder="1" applyAlignment="1">
      <alignment wrapText="1"/>
    </xf>
    <xf numFmtId="0" fontId="4" fillId="5" borderId="14" xfId="3" applyFont="1" applyFill="1" applyBorder="1" applyAlignment="1">
      <alignment wrapText="1"/>
    </xf>
    <xf numFmtId="0" fontId="4" fillId="5" borderId="15" xfId="3" applyFont="1" applyFill="1" applyBorder="1" applyAlignment="1">
      <alignment wrapText="1"/>
    </xf>
    <xf numFmtId="0" fontId="4" fillId="5" borderId="16" xfId="3" applyFont="1" applyFill="1" applyBorder="1" applyAlignment="1">
      <alignment wrapText="1"/>
    </xf>
    <xf numFmtId="180" fontId="60" fillId="18" borderId="1" xfId="3" applyNumberFormat="1" applyFill="1" applyBorder="1" applyAlignment="1">
      <alignment wrapText="1"/>
    </xf>
    <xf numFmtId="0" fontId="60" fillId="0" borderId="17" xfId="3" applyBorder="1" applyAlignment="1">
      <alignment wrapText="1"/>
    </xf>
    <xf numFmtId="0" fontId="60" fillId="0" borderId="18" xfId="3" applyBorder="1" applyAlignment="1">
      <alignment wrapText="1"/>
    </xf>
    <xf numFmtId="0" fontId="60" fillId="0" borderId="19" xfId="3" applyBorder="1" applyAlignment="1">
      <alignment wrapText="1"/>
    </xf>
    <xf numFmtId="0" fontId="60" fillId="0" borderId="20" xfId="3" applyBorder="1" applyAlignment="1">
      <alignment wrapText="1"/>
    </xf>
    <xf numFmtId="180" fontId="60" fillId="0" borderId="20" xfId="3" applyNumberFormat="1" applyBorder="1" applyAlignment="1">
      <alignment wrapText="1"/>
    </xf>
    <xf numFmtId="0" fontId="60" fillId="0" borderId="21" xfId="3" applyBorder="1" applyAlignment="1">
      <alignment wrapText="1"/>
    </xf>
    <xf numFmtId="178" fontId="61" fillId="19" borderId="6" xfId="1" applyNumberFormat="1" applyFont="1" applyFill="1" applyBorder="1" applyAlignment="1">
      <alignment horizontal="center" vertical="center"/>
    </xf>
    <xf numFmtId="58" fontId="60" fillId="0" borderId="0" xfId="3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3" applyFont="1" applyFill="1" applyAlignment="1">
      <alignment wrapText="1"/>
    </xf>
    <xf numFmtId="0" fontId="0" fillId="0" borderId="0" xfId="0" applyAlignment="1"/>
    <xf numFmtId="0" fontId="2" fillId="3" borderId="0" xfId="3" applyFont="1" applyFill="1" applyAlignment="1">
      <alignment wrapText="1"/>
    </xf>
    <xf numFmtId="0" fontId="3" fillId="4" borderId="1" xfId="3" applyFont="1" applyFill="1" applyBorder="1" applyAlignment="1">
      <alignment horizontal="center" wrapText="1"/>
    </xf>
    <xf numFmtId="0" fontId="0" fillId="0" borderId="2" xfId="0" applyBorder="1" applyAlignment="1"/>
    <xf numFmtId="0" fontId="1" fillId="2" borderId="0" xfId="3" applyFont="1" applyFill="1" applyAlignment="1">
      <alignment horizontal="center" wrapText="1"/>
    </xf>
    <xf numFmtId="0" fontId="60" fillId="0" borderId="0" xfId="3" applyAlignment="1">
      <alignment horizontal="center"/>
    </xf>
    <xf numFmtId="0" fontId="2" fillId="3" borderId="0" xfId="3" applyFont="1" applyFill="1" applyAlignment="1">
      <alignment horizontal="center" wrapText="1"/>
    </xf>
    <xf numFmtId="0" fontId="3" fillId="4" borderId="0" xfId="3" applyFont="1" applyFill="1" applyAlignment="1">
      <alignment horizontal="center" wrapText="1"/>
    </xf>
    <xf numFmtId="0" fontId="62" fillId="0" borderId="22" xfId="0" applyFont="1" applyBorder="1" applyAlignment="1">
      <alignment horizontal="center" vertical="center" wrapText="1"/>
    </xf>
    <xf numFmtId="0" fontId="62" fillId="0" borderId="22" xfId="0" applyFont="1" applyBorder="1" applyAlignment="1">
      <alignment horizontal="left" vertical="center" wrapText="1"/>
    </xf>
    <xf numFmtId="177" fontId="62" fillId="0" borderId="22" xfId="0" applyNumberFormat="1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63" fillId="0" borderId="23" xfId="0" applyFont="1" applyBorder="1" applyAlignment="1">
      <alignment wrapText="1"/>
    </xf>
    <xf numFmtId="0" fontId="63" fillId="0" borderId="24" xfId="0" applyFont="1" applyBorder="1" applyAlignment="1">
      <alignment wrapText="1"/>
    </xf>
    <xf numFmtId="0" fontId="62" fillId="0" borderId="25" xfId="0" applyFont="1" applyBorder="1" applyAlignment="1">
      <alignment horizontal="left" vertical="center" wrapText="1"/>
    </xf>
    <xf numFmtId="0" fontId="62" fillId="0" borderId="26" xfId="0" applyFont="1" applyBorder="1" applyAlignment="1">
      <alignment horizontal="center" vertical="center"/>
    </xf>
    <xf numFmtId="0" fontId="62" fillId="0" borderId="27" xfId="0" applyFont="1" applyBorder="1" applyAlignment="1">
      <alignment horizontal="left" vertical="center" wrapText="1"/>
    </xf>
    <xf numFmtId="0" fontId="62" fillId="0" borderId="24" xfId="0" applyFont="1" applyBorder="1" applyAlignment="1">
      <alignment horizontal="center" vertical="center" wrapText="1"/>
    </xf>
    <xf numFmtId="0" fontId="62" fillId="0" borderId="0" xfId="0" applyFont="1" applyAlignment="1">
      <alignment horizontal="left" vertical="center" wrapText="1"/>
    </xf>
    <xf numFmtId="0" fontId="62" fillId="0" borderId="26" xfId="0" applyFont="1" applyBorder="1" applyAlignment="1">
      <alignment horizontal="center" vertical="center" wrapText="1"/>
    </xf>
    <xf numFmtId="0" fontId="62" fillId="0" borderId="23" xfId="0" applyFont="1" applyBorder="1" applyAlignment="1">
      <alignment horizontal="center" vertical="center" wrapText="1"/>
    </xf>
    <xf numFmtId="0" fontId="63" fillId="0" borderId="28" xfId="0" applyFont="1" applyBorder="1" applyAlignment="1">
      <alignment wrapText="1"/>
    </xf>
    <xf numFmtId="0" fontId="63" fillId="0" borderId="29" xfId="0" applyFont="1" applyBorder="1" applyAlignment="1">
      <alignment wrapText="1"/>
    </xf>
    <xf numFmtId="0" fontId="62" fillId="0" borderId="30" xfId="0" applyFont="1" applyBorder="1" applyAlignment="1">
      <alignment horizontal="center" vertical="center" wrapText="1"/>
    </xf>
    <xf numFmtId="0" fontId="63" fillId="0" borderId="6" xfId="0" applyFont="1" applyBorder="1" applyAlignment="1">
      <alignment wrapText="1"/>
    </xf>
    <xf numFmtId="0" fontId="62" fillId="0" borderId="6" xfId="0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2" fillId="0" borderId="31" xfId="0" applyFont="1" applyBorder="1" applyAlignment="1">
      <alignment horizontal="left" vertical="center" wrapText="1"/>
    </xf>
    <xf numFmtId="0" fontId="62" fillId="0" borderId="32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33" xfId="0" applyFont="1" applyBorder="1" applyAlignment="1">
      <alignment horizontal="left" vertical="center" wrapText="1"/>
    </xf>
    <xf numFmtId="177" fontId="62" fillId="0" borderId="34" xfId="0" applyNumberFormat="1" applyFont="1" applyBorder="1" applyAlignment="1">
      <alignment horizontal="center" vertical="center"/>
    </xf>
    <xf numFmtId="0" fontId="62" fillId="0" borderId="34" xfId="0" applyFont="1" applyBorder="1" applyAlignment="1">
      <alignment horizontal="center" vertical="center"/>
    </xf>
    <xf numFmtId="0" fontId="35" fillId="0" borderId="1" xfId="0" applyFont="1" applyFill="1" applyBorder="1" applyAlignment="1">
      <alignment horizontal="center" wrapText="1"/>
    </xf>
  </cellXfs>
  <cellStyles count="5">
    <cellStyle name="Normal" xfId="3" xr:uid="{00000000-0005-0000-0000-000031000000}"/>
    <cellStyle name="百分比" xfId="2" builtinId="5"/>
    <cellStyle name="常规" xfId="0" builtinId="0"/>
    <cellStyle name="常规 2" xfId="4" xr:uid="{00000000-0005-0000-0000-000032000000}"/>
    <cellStyle name="千位分隔" xfId="1" builtinId="3"/>
  </cellStyles>
  <dxfs count="25">
    <dxf>
      <fill>
        <patternFill patternType="solid">
          <bgColor rgb="FF17BBBF"/>
        </patternFill>
      </fill>
    </dxf>
    <dxf>
      <fill>
        <patternFill patternType="solid">
          <bgColor theme="6" tint="0.79982909634693444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6" tint="0.7998596148564104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activeCell="F6" sqref="F6"/>
    </sheetView>
  </sheetViews>
  <sheetFormatPr defaultColWidth="9" defaultRowHeight="14.15"/>
  <cols>
    <col min="1" max="1" width="18" customWidth="1"/>
    <col min="2" max="2" width="42" customWidth="1"/>
    <col min="4" max="4" width="15.921875" customWidth="1"/>
    <col min="5" max="5" width="6" customWidth="1"/>
    <col min="6" max="6" width="13" customWidth="1"/>
    <col min="7" max="7" width="12.3828125" customWidth="1"/>
    <col min="8" max="8" width="10.3828125" customWidth="1"/>
  </cols>
  <sheetData>
    <row r="1" spans="1:8" ht="21.65" customHeight="1">
      <c r="A1" s="160" t="s">
        <v>0</v>
      </c>
      <c r="B1" s="161"/>
      <c r="C1" s="161"/>
      <c r="D1" s="161"/>
      <c r="E1" s="161"/>
      <c r="F1" s="161"/>
      <c r="G1" s="161"/>
      <c r="H1" s="161"/>
    </row>
    <row r="2" spans="1:8" ht="15" customHeight="1">
      <c r="A2" s="162" t="s">
        <v>1</v>
      </c>
      <c r="B2" s="161"/>
      <c r="C2" s="161"/>
      <c r="D2" s="161"/>
      <c r="E2" s="161"/>
      <c r="F2" s="161"/>
      <c r="G2" s="161"/>
      <c r="H2" s="161"/>
    </row>
    <row r="3" spans="1:8" ht="15" customHeight="1">
      <c r="A3" s="142" t="s">
        <v>2</v>
      </c>
      <c r="B3" s="146" t="s">
        <v>3</v>
      </c>
      <c r="C3" s="132"/>
      <c r="D3" s="147" t="s">
        <v>4</v>
      </c>
      <c r="E3" s="148" t="s">
        <v>5</v>
      </c>
      <c r="F3" s="148" t="s">
        <v>6</v>
      </c>
      <c r="G3" s="148" t="s">
        <v>7</v>
      </c>
      <c r="H3" s="149" t="s">
        <v>8</v>
      </c>
    </row>
    <row r="4" spans="1:8" ht="15" customHeight="1">
      <c r="A4" s="142" t="s">
        <v>9</v>
      </c>
      <c r="B4" s="150">
        <v>46242</v>
      </c>
      <c r="C4" s="132"/>
      <c r="D4" s="151" t="s">
        <v>10</v>
      </c>
      <c r="E4" s="80">
        <v>17</v>
      </c>
      <c r="F4" s="139">
        <v>46242</v>
      </c>
      <c r="G4" s="139">
        <v>46280</v>
      </c>
      <c r="H4" s="152" t="s">
        <v>11</v>
      </c>
    </row>
    <row r="5" spans="1:8" ht="15" customHeight="1">
      <c r="A5" s="142" t="s">
        <v>12</v>
      </c>
      <c r="B5" s="150">
        <v>46297</v>
      </c>
      <c r="C5" s="132"/>
      <c r="D5" s="151" t="s">
        <v>13</v>
      </c>
      <c r="E5" s="80">
        <v>11</v>
      </c>
      <c r="F5" s="139">
        <v>46256</v>
      </c>
      <c r="G5" s="139">
        <v>46297</v>
      </c>
      <c r="H5" s="152" t="s">
        <v>11</v>
      </c>
    </row>
    <row r="6" spans="1:8" ht="15" customHeight="1">
      <c r="A6" s="142" t="s">
        <v>14</v>
      </c>
      <c r="B6" s="146">
        <v>31</v>
      </c>
      <c r="C6" s="132"/>
      <c r="D6" s="153" t="s">
        <v>15</v>
      </c>
      <c r="E6" s="154">
        <v>3</v>
      </c>
      <c r="F6" s="155">
        <v>46244</v>
      </c>
      <c r="G6" s="155">
        <v>46256</v>
      </c>
      <c r="H6" s="156" t="s">
        <v>11</v>
      </c>
    </row>
    <row r="7" spans="1:8" ht="15" customHeight="1">
      <c r="A7" s="142" t="s">
        <v>16</v>
      </c>
      <c r="B7" s="146">
        <f>'11.2施工人员安排'!C9</f>
        <v>4</v>
      </c>
      <c r="C7" s="132"/>
      <c r="D7" s="132"/>
      <c r="E7" s="132"/>
      <c r="F7" s="132"/>
      <c r="G7" s="132"/>
      <c r="H7" s="132"/>
    </row>
    <row r="8" spans="1:8" ht="15" customHeight="1">
      <c r="A8" s="142" t="s">
        <v>17</v>
      </c>
      <c r="B8" s="146">
        <f>'11.2施工人员安排'!F17</f>
        <v>70</v>
      </c>
      <c r="C8" s="132"/>
      <c r="D8" s="132"/>
      <c r="E8" s="132"/>
      <c r="F8" s="132"/>
      <c r="G8" s="132"/>
      <c r="H8" s="132"/>
    </row>
    <row r="9" spans="1:8" ht="15" customHeight="1">
      <c r="A9" s="142" t="s">
        <v>18</v>
      </c>
      <c r="B9" s="146" t="s">
        <v>19</v>
      </c>
      <c r="C9" s="132"/>
      <c r="D9" s="132"/>
      <c r="E9" s="132"/>
      <c r="F9" s="132"/>
      <c r="G9" s="132"/>
      <c r="H9" s="132"/>
    </row>
  </sheetData>
  <mergeCells count="2">
    <mergeCell ref="A1:H1"/>
    <mergeCell ref="A2:H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showGridLines="0" workbookViewId="0">
      <selection activeCell="B14" sqref="B14"/>
    </sheetView>
  </sheetViews>
  <sheetFormatPr defaultColWidth="9" defaultRowHeight="14.15"/>
  <cols>
    <col min="1" max="1" width="10" customWidth="1"/>
    <col min="2" max="2" width="42" customWidth="1"/>
    <col min="3" max="4" width="14" customWidth="1"/>
    <col min="5" max="5" width="7.23046875" customWidth="1"/>
    <col min="6" max="6" width="28" customWidth="1"/>
  </cols>
  <sheetData>
    <row r="1" spans="1:6" ht="21.65" customHeight="1">
      <c r="A1" s="160" t="s">
        <v>20</v>
      </c>
      <c r="B1" s="161"/>
      <c r="C1" s="161"/>
      <c r="D1" s="161"/>
      <c r="E1" s="161"/>
      <c r="F1" s="161"/>
    </row>
    <row r="2" spans="1:6" ht="15" customHeight="1">
      <c r="A2" s="162" t="s">
        <v>21</v>
      </c>
      <c r="B2" s="161"/>
      <c r="C2" s="161"/>
      <c r="D2" s="161"/>
      <c r="E2" s="161"/>
      <c r="F2" s="161"/>
    </row>
    <row r="3" spans="1:6" ht="15" customHeight="1">
      <c r="A3" s="132"/>
      <c r="B3" s="132"/>
      <c r="C3" s="132"/>
      <c r="D3" s="132"/>
      <c r="E3" s="132"/>
      <c r="F3" s="132"/>
    </row>
    <row r="4" spans="1:6" ht="15" customHeight="1">
      <c r="A4" s="133" t="s">
        <v>22</v>
      </c>
      <c r="B4" s="133" t="s">
        <v>23</v>
      </c>
      <c r="C4" s="134" t="s">
        <v>24</v>
      </c>
      <c r="D4" s="134" t="s">
        <v>25</v>
      </c>
      <c r="E4" s="135" t="s">
        <v>26</v>
      </c>
      <c r="F4" s="133" t="s">
        <v>8</v>
      </c>
    </row>
    <row r="5" spans="1:6" ht="15" customHeight="1">
      <c r="A5" s="136" t="s">
        <v>27</v>
      </c>
      <c r="B5" s="136" t="s">
        <v>28</v>
      </c>
      <c r="C5" s="137"/>
      <c r="D5" s="137"/>
      <c r="E5" s="138" t="str">
        <f t="shared" ref="E5:E44" si="0">IF(AND(C5&lt;&gt;"",D5&lt;&gt;""),D5-C5+1,"")</f>
        <v/>
      </c>
      <c r="F5" s="136" t="s">
        <v>11</v>
      </c>
    </row>
    <row r="6" spans="1:6" ht="15" customHeight="1">
      <c r="A6" s="80" t="s">
        <v>29</v>
      </c>
      <c r="B6" s="80" t="s">
        <v>30</v>
      </c>
      <c r="C6" s="139">
        <v>46225</v>
      </c>
      <c r="D6" s="139">
        <v>46228</v>
      </c>
      <c r="E6" s="140">
        <f t="shared" si="0"/>
        <v>4</v>
      </c>
      <c r="F6" s="80" t="s">
        <v>11</v>
      </c>
    </row>
    <row r="7" spans="1:6" ht="15" customHeight="1">
      <c r="A7" s="80" t="s">
        <v>31</v>
      </c>
      <c r="B7" s="80" t="s">
        <v>32</v>
      </c>
      <c r="C7" s="139">
        <v>46229</v>
      </c>
      <c r="D7" s="139">
        <v>46249</v>
      </c>
      <c r="E7" s="140">
        <f t="shared" si="0"/>
        <v>21</v>
      </c>
      <c r="F7" s="80" t="s">
        <v>11</v>
      </c>
    </row>
    <row r="8" spans="1:6" ht="15" customHeight="1">
      <c r="A8" s="80" t="s">
        <v>33</v>
      </c>
      <c r="B8" s="80" t="s">
        <v>34</v>
      </c>
      <c r="C8" s="139">
        <v>46239</v>
      </c>
      <c r="D8" s="139">
        <v>46279</v>
      </c>
      <c r="E8" s="140">
        <f t="shared" si="0"/>
        <v>41</v>
      </c>
      <c r="F8" s="80" t="s">
        <v>11</v>
      </c>
    </row>
    <row r="9" spans="1:6" ht="15" customHeight="1">
      <c r="A9" s="80" t="s">
        <v>35</v>
      </c>
      <c r="B9" s="141" t="s">
        <v>36</v>
      </c>
      <c r="C9" s="139">
        <v>46239</v>
      </c>
      <c r="D9" s="139">
        <v>46259</v>
      </c>
      <c r="E9" s="140">
        <f t="shared" si="0"/>
        <v>21</v>
      </c>
      <c r="F9" s="80" t="s">
        <v>11</v>
      </c>
    </row>
    <row r="10" spans="1:6" ht="15" customHeight="1">
      <c r="A10" s="80" t="s">
        <v>37</v>
      </c>
      <c r="B10" s="141" t="s">
        <v>38</v>
      </c>
      <c r="C10" s="139">
        <v>46255</v>
      </c>
      <c r="D10" s="139">
        <v>46264</v>
      </c>
      <c r="E10" s="140">
        <f t="shared" si="0"/>
        <v>10</v>
      </c>
      <c r="F10" s="80" t="s">
        <v>11</v>
      </c>
    </row>
    <row r="11" spans="1:6" ht="15" customHeight="1">
      <c r="A11" s="80" t="s">
        <v>39</v>
      </c>
      <c r="B11" s="141" t="s">
        <v>40</v>
      </c>
      <c r="C11" s="139">
        <v>46265</v>
      </c>
      <c r="D11" s="139">
        <v>46279</v>
      </c>
      <c r="E11" s="140">
        <f t="shared" si="0"/>
        <v>15</v>
      </c>
      <c r="F11" s="80" t="s">
        <v>11</v>
      </c>
    </row>
    <row r="12" spans="1:6" ht="15" customHeight="1">
      <c r="A12" s="142" t="s">
        <v>41</v>
      </c>
      <c r="B12" s="142" t="s">
        <v>42</v>
      </c>
      <c r="C12" s="143"/>
      <c r="D12" s="143"/>
      <c r="E12" s="144" t="str">
        <f t="shared" si="0"/>
        <v/>
      </c>
      <c r="F12" s="142" t="s">
        <v>11</v>
      </c>
    </row>
    <row r="13" spans="1:6" ht="15" customHeight="1">
      <c r="A13" s="80" t="s">
        <v>43</v>
      </c>
      <c r="B13" s="141" t="s">
        <v>44</v>
      </c>
      <c r="C13" s="139">
        <v>46239</v>
      </c>
      <c r="D13" s="139">
        <v>46244</v>
      </c>
      <c r="E13" s="140">
        <f t="shared" si="0"/>
        <v>6</v>
      </c>
      <c r="F13" s="80" t="s">
        <v>11</v>
      </c>
    </row>
    <row r="14" spans="1:6" ht="15" customHeight="1">
      <c r="A14" s="80" t="s">
        <v>45</v>
      </c>
      <c r="B14" s="141" t="s">
        <v>46</v>
      </c>
      <c r="C14" s="139">
        <v>46244</v>
      </c>
      <c r="D14" s="139">
        <v>46259</v>
      </c>
      <c r="E14" s="140">
        <f t="shared" si="0"/>
        <v>16</v>
      </c>
      <c r="F14" s="80" t="s">
        <v>11</v>
      </c>
    </row>
    <row r="15" spans="1:6" ht="15" customHeight="1">
      <c r="A15" s="80" t="s">
        <v>47</v>
      </c>
      <c r="B15" s="141" t="s">
        <v>48</v>
      </c>
      <c r="C15" s="139">
        <v>46254</v>
      </c>
      <c r="D15" s="139">
        <v>46268</v>
      </c>
      <c r="E15" s="140">
        <f t="shared" si="0"/>
        <v>15</v>
      </c>
      <c r="F15" s="80" t="s">
        <v>11</v>
      </c>
    </row>
    <row r="16" spans="1:6" ht="15" customHeight="1">
      <c r="A16" s="80" t="s">
        <v>49</v>
      </c>
      <c r="B16" s="141" t="s">
        <v>50</v>
      </c>
      <c r="C16" s="139">
        <v>46264</v>
      </c>
      <c r="D16" s="139">
        <v>46270</v>
      </c>
      <c r="E16" s="140">
        <f t="shared" si="0"/>
        <v>7</v>
      </c>
      <c r="F16" s="80" t="s">
        <v>11</v>
      </c>
    </row>
    <row r="17" spans="1:6" ht="15" customHeight="1">
      <c r="A17" s="80" t="s">
        <v>51</v>
      </c>
      <c r="B17" s="141" t="s">
        <v>52</v>
      </c>
      <c r="C17" s="139">
        <v>46268</v>
      </c>
      <c r="D17" s="139">
        <v>46270</v>
      </c>
      <c r="E17" s="140">
        <f t="shared" si="0"/>
        <v>3</v>
      </c>
      <c r="F17" s="80" t="s">
        <v>11</v>
      </c>
    </row>
    <row r="18" spans="1:6" ht="15" customHeight="1">
      <c r="A18" s="142" t="s">
        <v>53</v>
      </c>
      <c r="B18" s="142" t="s">
        <v>54</v>
      </c>
      <c r="C18" s="143"/>
      <c r="D18" s="143"/>
      <c r="E18" s="144" t="str">
        <f t="shared" si="0"/>
        <v/>
      </c>
      <c r="F18" s="142" t="s">
        <v>11</v>
      </c>
    </row>
    <row r="19" spans="1:6" ht="15" customHeight="1">
      <c r="A19" s="80" t="s">
        <v>55</v>
      </c>
      <c r="B19" s="141" t="s">
        <v>56</v>
      </c>
      <c r="C19" s="139">
        <v>46249</v>
      </c>
      <c r="D19" s="139">
        <v>46256</v>
      </c>
      <c r="E19" s="140">
        <f t="shared" si="0"/>
        <v>8</v>
      </c>
      <c r="F19" s="80" t="s">
        <v>11</v>
      </c>
    </row>
    <row r="20" spans="1:6" ht="15" customHeight="1">
      <c r="A20" s="80" t="s">
        <v>57</v>
      </c>
      <c r="B20" s="141" t="s">
        <v>38</v>
      </c>
      <c r="C20" s="139">
        <v>46256</v>
      </c>
      <c r="D20" s="139">
        <v>46258</v>
      </c>
      <c r="E20" s="140">
        <f t="shared" si="0"/>
        <v>3</v>
      </c>
      <c r="F20" s="80" t="s">
        <v>11</v>
      </c>
    </row>
    <row r="21" spans="1:6" ht="15" customHeight="1">
      <c r="A21" s="80" t="s">
        <v>58</v>
      </c>
      <c r="B21" s="141" t="s">
        <v>59</v>
      </c>
      <c r="C21" s="139">
        <v>46259</v>
      </c>
      <c r="D21" s="139">
        <v>46264</v>
      </c>
      <c r="E21" s="140">
        <f t="shared" si="0"/>
        <v>6</v>
      </c>
      <c r="F21" s="80" t="s">
        <v>11</v>
      </c>
    </row>
    <row r="22" spans="1:6" ht="15" customHeight="1">
      <c r="A22" s="142" t="s">
        <v>60</v>
      </c>
      <c r="B22" s="145" t="s">
        <v>61</v>
      </c>
      <c r="C22" s="143"/>
      <c r="D22" s="143"/>
      <c r="E22" s="144" t="str">
        <f t="shared" si="0"/>
        <v/>
      </c>
      <c r="F22" s="142" t="s">
        <v>11</v>
      </c>
    </row>
    <row r="23" spans="1:6" ht="15" customHeight="1">
      <c r="A23" s="80" t="s">
        <v>62</v>
      </c>
      <c r="B23" s="141" t="s">
        <v>56</v>
      </c>
      <c r="C23" s="139">
        <v>46249</v>
      </c>
      <c r="D23" s="139">
        <v>46259</v>
      </c>
      <c r="E23" s="140">
        <f t="shared" si="0"/>
        <v>11</v>
      </c>
      <c r="F23" s="80" t="s">
        <v>11</v>
      </c>
    </row>
    <row r="24" spans="1:6" ht="15" customHeight="1">
      <c r="A24" s="80" t="s">
        <v>63</v>
      </c>
      <c r="B24" s="141" t="s">
        <v>38</v>
      </c>
      <c r="C24" s="139">
        <v>46259</v>
      </c>
      <c r="D24" s="139">
        <v>46272</v>
      </c>
      <c r="E24" s="140">
        <f t="shared" si="0"/>
        <v>14</v>
      </c>
      <c r="F24" s="80" t="s">
        <v>11</v>
      </c>
    </row>
    <row r="25" spans="1:6" ht="15" customHeight="1">
      <c r="A25" s="80" t="s">
        <v>64</v>
      </c>
      <c r="B25" s="141" t="s">
        <v>59</v>
      </c>
      <c r="C25" s="139">
        <v>46273</v>
      </c>
      <c r="D25" s="139">
        <v>46280</v>
      </c>
      <c r="E25" s="140">
        <f t="shared" si="0"/>
        <v>8</v>
      </c>
      <c r="F25" s="80" t="s">
        <v>11</v>
      </c>
    </row>
    <row r="26" spans="1:6" ht="15" customHeight="1">
      <c r="A26" s="136" t="s">
        <v>65</v>
      </c>
      <c r="B26" s="136" t="s">
        <v>13</v>
      </c>
      <c r="C26" s="137"/>
      <c r="D26" s="137"/>
      <c r="E26" s="138" t="str">
        <f t="shared" si="0"/>
        <v/>
      </c>
      <c r="F26" s="136" t="s">
        <v>11</v>
      </c>
    </row>
    <row r="27" spans="1:6" ht="15" customHeight="1">
      <c r="A27" s="142" t="s">
        <v>66</v>
      </c>
      <c r="B27" s="145" t="s">
        <v>67</v>
      </c>
      <c r="C27" s="143"/>
      <c r="D27" s="143"/>
      <c r="E27" s="144" t="str">
        <f t="shared" si="0"/>
        <v/>
      </c>
      <c r="F27" s="142" t="s">
        <v>11</v>
      </c>
    </row>
    <row r="28" spans="1:6" ht="15" customHeight="1">
      <c r="A28" s="80" t="s">
        <v>68</v>
      </c>
      <c r="B28" s="141" t="s">
        <v>69</v>
      </c>
      <c r="C28" s="139">
        <v>46239</v>
      </c>
      <c r="D28" s="139">
        <v>46245</v>
      </c>
      <c r="E28" s="140">
        <f t="shared" si="0"/>
        <v>7</v>
      </c>
      <c r="F28" s="80" t="s">
        <v>11</v>
      </c>
    </row>
    <row r="29" spans="1:6" ht="15" customHeight="1">
      <c r="A29" s="80" t="s">
        <v>70</v>
      </c>
      <c r="B29" s="141" t="s">
        <v>71</v>
      </c>
      <c r="C29" s="139">
        <v>46239</v>
      </c>
      <c r="D29" s="139">
        <v>46254</v>
      </c>
      <c r="E29" s="140">
        <f t="shared" si="0"/>
        <v>16</v>
      </c>
      <c r="F29" s="80" t="s">
        <v>11</v>
      </c>
    </row>
    <row r="30" spans="1:6" ht="15" customHeight="1">
      <c r="A30" s="80" t="s">
        <v>72</v>
      </c>
      <c r="B30" s="141" t="s">
        <v>56</v>
      </c>
      <c r="C30" s="139">
        <v>46244</v>
      </c>
      <c r="D30" s="139">
        <v>46259</v>
      </c>
      <c r="E30" s="140">
        <f t="shared" si="0"/>
        <v>16</v>
      </c>
      <c r="F30" s="80" t="s">
        <v>11</v>
      </c>
    </row>
    <row r="31" spans="1:6" ht="15" customHeight="1">
      <c r="A31" s="80" t="s">
        <v>73</v>
      </c>
      <c r="B31" s="141" t="s">
        <v>38</v>
      </c>
      <c r="C31" s="139">
        <v>46254</v>
      </c>
      <c r="D31" s="139">
        <v>46265</v>
      </c>
      <c r="E31" s="140">
        <f t="shared" si="0"/>
        <v>12</v>
      </c>
      <c r="F31" s="80" t="s">
        <v>11</v>
      </c>
    </row>
    <row r="32" spans="1:6" ht="15" customHeight="1">
      <c r="A32" s="80" t="s">
        <v>74</v>
      </c>
      <c r="B32" s="141" t="s">
        <v>75</v>
      </c>
      <c r="C32" s="139">
        <v>46266</v>
      </c>
      <c r="D32" s="139">
        <v>46280</v>
      </c>
      <c r="E32" s="140">
        <f t="shared" si="0"/>
        <v>15</v>
      </c>
      <c r="F32" s="80" t="s">
        <v>11</v>
      </c>
    </row>
    <row r="33" spans="1:6" ht="15" customHeight="1">
      <c r="A33" s="142" t="s">
        <v>76</v>
      </c>
      <c r="B33" s="145" t="s">
        <v>77</v>
      </c>
      <c r="C33" s="143"/>
      <c r="D33" s="143"/>
      <c r="E33" s="144" t="str">
        <f t="shared" si="0"/>
        <v/>
      </c>
      <c r="F33" s="142" t="s">
        <v>11</v>
      </c>
    </row>
    <row r="34" spans="1:6" ht="15" customHeight="1">
      <c r="A34" s="80" t="s">
        <v>78</v>
      </c>
      <c r="B34" s="141" t="s">
        <v>56</v>
      </c>
      <c r="C34" s="139">
        <v>46249</v>
      </c>
      <c r="D34" s="139">
        <v>46262</v>
      </c>
      <c r="E34" s="140">
        <f t="shared" si="0"/>
        <v>14</v>
      </c>
      <c r="F34" s="80" t="s">
        <v>11</v>
      </c>
    </row>
    <row r="35" spans="1:6" ht="15" customHeight="1">
      <c r="A35" s="80" t="s">
        <v>79</v>
      </c>
      <c r="B35" s="141" t="s">
        <v>38</v>
      </c>
      <c r="C35" s="139">
        <v>46261</v>
      </c>
      <c r="D35" s="139">
        <v>46270</v>
      </c>
      <c r="E35" s="140">
        <f t="shared" si="0"/>
        <v>10</v>
      </c>
      <c r="F35" s="80" t="s">
        <v>11</v>
      </c>
    </row>
    <row r="36" spans="1:6" ht="15" customHeight="1">
      <c r="A36" s="80" t="s">
        <v>80</v>
      </c>
      <c r="B36" s="141" t="s">
        <v>75</v>
      </c>
      <c r="C36" s="139">
        <v>46270</v>
      </c>
      <c r="D36" s="139">
        <v>46280</v>
      </c>
      <c r="E36" s="140">
        <f t="shared" si="0"/>
        <v>11</v>
      </c>
      <c r="F36" s="80" t="s">
        <v>11</v>
      </c>
    </row>
    <row r="37" spans="1:6" ht="15" customHeight="1">
      <c r="A37" s="142" t="s">
        <v>81</v>
      </c>
      <c r="B37" s="145" t="s">
        <v>82</v>
      </c>
      <c r="C37" s="143"/>
      <c r="D37" s="143"/>
      <c r="E37" s="144" t="str">
        <f t="shared" si="0"/>
        <v/>
      </c>
      <c r="F37" s="142" t="s">
        <v>11</v>
      </c>
    </row>
    <row r="38" spans="1:6" ht="15" customHeight="1">
      <c r="A38" s="80" t="s">
        <v>83</v>
      </c>
      <c r="B38" s="141" t="s">
        <v>56</v>
      </c>
      <c r="C38" s="139">
        <v>46254</v>
      </c>
      <c r="D38" s="139">
        <v>46261</v>
      </c>
      <c r="E38" s="140">
        <f t="shared" si="0"/>
        <v>8</v>
      </c>
      <c r="F38" s="80" t="s">
        <v>11</v>
      </c>
    </row>
    <row r="39" spans="1:6" ht="15" customHeight="1">
      <c r="A39" s="80" t="s">
        <v>84</v>
      </c>
      <c r="B39" s="141" t="s">
        <v>38</v>
      </c>
      <c r="C39" s="139">
        <v>46262</v>
      </c>
      <c r="D39" s="139">
        <v>46273</v>
      </c>
      <c r="E39" s="140">
        <f t="shared" si="0"/>
        <v>12</v>
      </c>
      <c r="F39" s="80" t="s">
        <v>11</v>
      </c>
    </row>
    <row r="40" spans="1:6" ht="15" customHeight="1">
      <c r="A40" s="80" t="s">
        <v>85</v>
      </c>
      <c r="B40" s="141" t="s">
        <v>75</v>
      </c>
      <c r="C40" s="139">
        <v>46274</v>
      </c>
      <c r="D40" s="139">
        <v>46280</v>
      </c>
      <c r="E40" s="140">
        <f t="shared" si="0"/>
        <v>7</v>
      </c>
      <c r="F40" s="80" t="s">
        <v>11</v>
      </c>
    </row>
    <row r="41" spans="1:6" ht="15" customHeight="1">
      <c r="A41" s="136" t="s">
        <v>86</v>
      </c>
      <c r="B41" s="136" t="s">
        <v>87</v>
      </c>
      <c r="C41" s="137"/>
      <c r="D41" s="137"/>
      <c r="E41" s="138" t="str">
        <f t="shared" si="0"/>
        <v/>
      </c>
      <c r="F41" s="136" t="s">
        <v>11</v>
      </c>
    </row>
    <row r="42" spans="1:6" ht="15" customHeight="1">
      <c r="A42" s="80" t="s">
        <v>88</v>
      </c>
      <c r="B42" s="80" t="s">
        <v>89</v>
      </c>
      <c r="C42" s="139">
        <v>46244</v>
      </c>
      <c r="D42" s="139">
        <v>46249</v>
      </c>
      <c r="E42" s="140">
        <f t="shared" si="0"/>
        <v>6</v>
      </c>
      <c r="F42" s="80" t="s">
        <v>11</v>
      </c>
    </row>
    <row r="43" spans="1:6" ht="15" customHeight="1">
      <c r="A43" s="80" t="s">
        <v>90</v>
      </c>
      <c r="B43" s="80" t="s">
        <v>91</v>
      </c>
      <c r="C43" s="139">
        <v>46249</v>
      </c>
      <c r="D43" s="139">
        <v>46252</v>
      </c>
      <c r="E43" s="140">
        <f t="shared" si="0"/>
        <v>4</v>
      </c>
      <c r="F43" s="80" t="s">
        <v>11</v>
      </c>
    </row>
    <row r="44" spans="1:6" ht="15" customHeight="1">
      <c r="A44" s="80" t="s">
        <v>92</v>
      </c>
      <c r="B44" s="80" t="s">
        <v>93</v>
      </c>
      <c r="C44" s="139">
        <v>46253</v>
      </c>
      <c r="D44" s="139">
        <v>46256</v>
      </c>
      <c r="E44" s="140">
        <f t="shared" si="0"/>
        <v>4</v>
      </c>
      <c r="F44" s="80" t="s">
        <v>11</v>
      </c>
    </row>
  </sheetData>
  <mergeCells count="2">
    <mergeCell ref="A1:F1"/>
    <mergeCell ref="A2:F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B299"/>
  <sheetViews>
    <sheetView showGridLines="0" tabSelected="1" zoomScale="70" zoomScaleNormal="70" workbookViewId="0">
      <pane xSplit="5" ySplit="1" topLeftCell="AZ2" activePane="bottomRight" state="frozen"/>
      <selection pane="topRight"/>
      <selection pane="bottomLeft"/>
      <selection pane="bottomRight" activeCell="BD21" sqref="BD21"/>
    </sheetView>
  </sheetViews>
  <sheetFormatPr defaultColWidth="9" defaultRowHeight="14.15" outlineLevelRow="2"/>
  <cols>
    <col min="1" max="1" width="41.3046875" customWidth="1"/>
    <col min="2" max="2" width="33.23046875" customWidth="1"/>
    <col min="3" max="3" width="6.69140625" customWidth="1"/>
    <col min="4" max="4" width="4.84375" customWidth="1"/>
    <col min="5" max="5" width="5" customWidth="1"/>
    <col min="6" max="9" width="4.53515625" hidden="1" customWidth="1"/>
    <col min="10" max="18" width="5.15234375" hidden="1" customWidth="1"/>
    <col min="19" max="21" width="5.53515625" hidden="1" customWidth="1"/>
    <col min="22" max="30" width="5.53515625" style="1" hidden="1" customWidth="1"/>
    <col min="31" max="32" width="5.61328125" style="1" hidden="1" customWidth="1"/>
    <col min="33" max="33" width="5.53515625" style="1" hidden="1" customWidth="1"/>
    <col min="34" max="35" width="5.61328125" style="1" hidden="1" customWidth="1"/>
    <col min="36" max="47" width="5.53515625" style="1" hidden="1" customWidth="1"/>
    <col min="48" max="48" width="6.53515625" style="1" hidden="1" customWidth="1"/>
    <col min="49" max="51" width="5.53515625" style="1" hidden="1" customWidth="1"/>
    <col min="52" max="53" width="5.53515625" style="1" customWidth="1"/>
    <col min="54" max="54" width="6.3046875" style="1" customWidth="1"/>
    <col min="55" max="60" width="5.53515625" style="1" customWidth="1"/>
    <col min="61" max="61" width="6.765625" style="1" customWidth="1"/>
    <col min="62" max="77" width="5.53515625" style="1" customWidth="1"/>
    <col min="78" max="101" width="5.53515625" customWidth="1"/>
    <col min="102" max="123" width="6.07421875" customWidth="1"/>
    <col min="124" max="132" width="5.15234375" customWidth="1"/>
    <col min="133" max="143" width="6.07421875" customWidth="1"/>
  </cols>
  <sheetData>
    <row r="1" spans="1:184" ht="15.9" customHeight="1">
      <c r="A1" s="22" t="s">
        <v>94</v>
      </c>
      <c r="B1" s="23" t="s">
        <v>95</v>
      </c>
      <c r="C1" s="23"/>
      <c r="D1" s="23"/>
      <c r="E1" s="24" t="s">
        <v>8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>
        <v>46222</v>
      </c>
      <c r="T1" s="40">
        <v>46223</v>
      </c>
      <c r="U1" s="40">
        <v>46224</v>
      </c>
      <c r="V1" s="40">
        <v>46225</v>
      </c>
      <c r="W1" s="40">
        <v>46226</v>
      </c>
      <c r="X1" s="40">
        <v>46227</v>
      </c>
      <c r="Y1" s="40">
        <v>46228</v>
      </c>
      <c r="Z1" s="41">
        <v>46229</v>
      </c>
      <c r="AA1" s="40">
        <v>46230</v>
      </c>
      <c r="AB1" s="40">
        <v>46231</v>
      </c>
      <c r="AC1" s="40">
        <v>46232</v>
      </c>
      <c r="AD1" s="40">
        <v>46233</v>
      </c>
      <c r="AE1" s="40">
        <v>46234</v>
      </c>
      <c r="AF1" s="42">
        <v>46235</v>
      </c>
      <c r="AG1" s="41">
        <v>46236</v>
      </c>
      <c r="AH1" s="40">
        <v>46237</v>
      </c>
      <c r="AI1" s="40">
        <v>46238</v>
      </c>
      <c r="AJ1" s="40">
        <v>46239</v>
      </c>
      <c r="AK1" s="40">
        <v>46240</v>
      </c>
      <c r="AL1" s="40">
        <v>46241</v>
      </c>
      <c r="AM1" s="42">
        <v>46242</v>
      </c>
      <c r="AN1" s="41">
        <v>46243</v>
      </c>
      <c r="AO1" s="40">
        <v>46244</v>
      </c>
      <c r="AP1" s="40">
        <v>46245</v>
      </c>
      <c r="AQ1" s="40">
        <v>46246</v>
      </c>
      <c r="AR1" s="40">
        <v>46247</v>
      </c>
      <c r="AS1" s="40">
        <v>46248</v>
      </c>
      <c r="AT1" s="42">
        <v>46249</v>
      </c>
      <c r="AU1" s="41">
        <v>46250</v>
      </c>
      <c r="AV1" s="40">
        <v>46251</v>
      </c>
      <c r="AW1" s="40">
        <v>46252</v>
      </c>
      <c r="AX1" s="40">
        <v>46253</v>
      </c>
      <c r="AY1" s="40">
        <v>46254</v>
      </c>
      <c r="AZ1" s="40">
        <v>46255</v>
      </c>
      <c r="BA1" s="42">
        <v>46256</v>
      </c>
      <c r="BB1" s="41">
        <v>46257</v>
      </c>
      <c r="BC1" s="40">
        <v>46258</v>
      </c>
      <c r="BD1" s="40">
        <v>46259</v>
      </c>
      <c r="BE1" s="40">
        <v>46260</v>
      </c>
      <c r="BF1" s="40">
        <v>46261</v>
      </c>
      <c r="BG1" s="40">
        <v>46262</v>
      </c>
      <c r="BH1" s="42">
        <v>46263</v>
      </c>
      <c r="BI1" s="41">
        <v>46264</v>
      </c>
      <c r="BJ1" s="40">
        <v>46265</v>
      </c>
      <c r="BK1" s="40">
        <v>46266</v>
      </c>
      <c r="BL1" s="40">
        <v>46267</v>
      </c>
      <c r="BM1" s="40">
        <v>46268</v>
      </c>
      <c r="BN1" s="40">
        <v>46269</v>
      </c>
      <c r="BO1" s="42">
        <v>46270</v>
      </c>
      <c r="BP1" s="41">
        <v>46271</v>
      </c>
      <c r="BQ1" s="43">
        <v>46272</v>
      </c>
      <c r="BR1" s="43">
        <v>46273</v>
      </c>
      <c r="BS1" s="43">
        <v>46274</v>
      </c>
      <c r="BT1" s="43">
        <v>46275</v>
      </c>
      <c r="BU1" s="43">
        <v>46276</v>
      </c>
      <c r="BV1" s="42">
        <v>46277</v>
      </c>
      <c r="BW1" s="41">
        <v>46278</v>
      </c>
      <c r="BX1" s="43">
        <v>46279</v>
      </c>
      <c r="BY1" s="43">
        <v>46280</v>
      </c>
      <c r="BZ1" s="43">
        <v>46281</v>
      </c>
      <c r="CA1" s="43">
        <v>46282</v>
      </c>
      <c r="CB1" s="43">
        <v>46283</v>
      </c>
      <c r="CC1" s="42">
        <v>46284</v>
      </c>
      <c r="CD1" s="41">
        <v>46285</v>
      </c>
      <c r="CE1" s="43">
        <v>46286</v>
      </c>
      <c r="CF1" s="43">
        <v>46287</v>
      </c>
      <c r="CG1" s="43">
        <v>46288</v>
      </c>
      <c r="CH1" s="43">
        <v>46289</v>
      </c>
      <c r="CI1" s="41">
        <v>46290</v>
      </c>
      <c r="CJ1" s="41">
        <v>46291</v>
      </c>
      <c r="CK1" s="41">
        <v>46292</v>
      </c>
      <c r="CL1" s="43">
        <v>46293</v>
      </c>
      <c r="CM1" s="43">
        <v>46294</v>
      </c>
      <c r="CN1" s="43">
        <v>46295</v>
      </c>
      <c r="CO1" s="41">
        <v>46296</v>
      </c>
      <c r="CP1" s="41">
        <v>46297</v>
      </c>
      <c r="CQ1" s="41">
        <v>46298</v>
      </c>
      <c r="CR1" s="41">
        <v>46299</v>
      </c>
      <c r="CS1" s="41">
        <v>46300</v>
      </c>
      <c r="CT1" s="41">
        <v>46301</v>
      </c>
      <c r="CU1" s="41">
        <v>46302</v>
      </c>
      <c r="CV1" s="44">
        <v>46303</v>
      </c>
      <c r="CW1" s="44">
        <v>46304</v>
      </c>
      <c r="CX1" s="41">
        <v>46305</v>
      </c>
      <c r="CY1" s="41">
        <v>46306</v>
      </c>
      <c r="CZ1" s="44">
        <v>46307</v>
      </c>
      <c r="DA1" s="44">
        <v>46308</v>
      </c>
      <c r="DB1" s="44">
        <v>46309</v>
      </c>
      <c r="DC1" s="44">
        <v>46310</v>
      </c>
      <c r="DD1" s="44">
        <v>46311</v>
      </c>
      <c r="DE1" s="41">
        <v>46312</v>
      </c>
      <c r="DF1" s="41">
        <v>46313</v>
      </c>
      <c r="DG1" s="44">
        <v>46314</v>
      </c>
      <c r="DH1" s="44">
        <v>46315</v>
      </c>
      <c r="DI1" s="44">
        <v>46316</v>
      </c>
      <c r="DJ1" s="44">
        <v>46317</v>
      </c>
      <c r="DK1" s="44">
        <v>46318</v>
      </c>
      <c r="DL1" s="41">
        <v>46319</v>
      </c>
      <c r="DM1" s="41">
        <v>46320</v>
      </c>
      <c r="DN1" s="44">
        <v>46321</v>
      </c>
      <c r="DO1" s="44">
        <v>46322</v>
      </c>
      <c r="DP1" s="44">
        <v>46323</v>
      </c>
      <c r="DQ1" s="44">
        <v>46324</v>
      </c>
      <c r="DR1" s="44">
        <v>46325</v>
      </c>
      <c r="DS1" s="41">
        <v>46326</v>
      </c>
      <c r="DT1" s="41">
        <v>46327</v>
      </c>
      <c r="DU1" s="44">
        <v>46328</v>
      </c>
      <c r="DV1" s="44">
        <v>46329</v>
      </c>
      <c r="DW1" s="44">
        <v>46330</v>
      </c>
      <c r="DX1" s="44">
        <v>46331</v>
      </c>
      <c r="DY1" s="44">
        <v>46332</v>
      </c>
      <c r="DZ1" s="41">
        <v>46333</v>
      </c>
      <c r="EA1" s="41">
        <v>46334</v>
      </c>
      <c r="EB1" s="44">
        <v>46335</v>
      </c>
      <c r="EC1" s="44">
        <v>46336</v>
      </c>
      <c r="ED1" s="44">
        <v>46337</v>
      </c>
      <c r="EE1" s="44">
        <v>46338</v>
      </c>
      <c r="EF1" s="44">
        <v>46339</v>
      </c>
      <c r="EG1" s="41">
        <v>46340</v>
      </c>
      <c r="EH1" s="41">
        <v>46341</v>
      </c>
      <c r="EI1" s="44">
        <v>46342</v>
      </c>
      <c r="EJ1" s="44">
        <v>46343</v>
      </c>
      <c r="EK1" s="44">
        <v>46344</v>
      </c>
      <c r="EL1" s="44">
        <v>46345</v>
      </c>
      <c r="EM1" s="44">
        <v>46346</v>
      </c>
      <c r="EN1" s="44">
        <v>46347</v>
      </c>
      <c r="EO1" s="44">
        <v>46348</v>
      </c>
      <c r="EP1" s="44">
        <v>46349</v>
      </c>
      <c r="EQ1" s="44">
        <v>46350</v>
      </c>
      <c r="ER1" s="44">
        <v>46351</v>
      </c>
      <c r="ES1" s="44">
        <v>46352</v>
      </c>
      <c r="ET1" s="44">
        <v>46353</v>
      </c>
      <c r="EU1" s="44">
        <v>46354</v>
      </c>
      <c r="EV1" s="44">
        <v>46355</v>
      </c>
      <c r="EW1" s="44">
        <v>46356</v>
      </c>
      <c r="EX1" s="44">
        <v>46357</v>
      </c>
      <c r="EY1" s="44">
        <v>46358</v>
      </c>
      <c r="EZ1" s="44">
        <v>46359</v>
      </c>
      <c r="FA1" s="44">
        <v>46360</v>
      </c>
      <c r="FB1" s="44">
        <v>46361</v>
      </c>
      <c r="FC1" s="44">
        <v>46362</v>
      </c>
      <c r="FD1" s="44">
        <v>46363</v>
      </c>
      <c r="FE1" s="44">
        <v>46364</v>
      </c>
      <c r="FF1" s="44">
        <v>46365</v>
      </c>
      <c r="FG1" s="44">
        <v>46366</v>
      </c>
      <c r="FH1" s="44">
        <v>46367</v>
      </c>
      <c r="FI1" s="44">
        <v>46368</v>
      </c>
      <c r="FJ1" s="44">
        <v>46369</v>
      </c>
      <c r="FK1" s="44">
        <v>46370</v>
      </c>
      <c r="FL1" s="44">
        <v>46371</v>
      </c>
      <c r="FM1" s="44">
        <v>46372</v>
      </c>
      <c r="FN1" s="44">
        <v>46373</v>
      </c>
      <c r="FO1" s="44">
        <v>46374</v>
      </c>
      <c r="FP1" s="44">
        <v>46375</v>
      </c>
      <c r="FQ1" s="44">
        <v>46376</v>
      </c>
      <c r="FR1" s="44">
        <v>46377</v>
      </c>
      <c r="FS1" s="44">
        <v>46378</v>
      </c>
      <c r="FT1" s="44">
        <v>46379</v>
      </c>
      <c r="FU1" s="44">
        <v>46380</v>
      </c>
      <c r="FV1" s="44">
        <v>46381</v>
      </c>
      <c r="FW1" s="44">
        <v>46382</v>
      </c>
      <c r="FX1" s="44">
        <v>46383</v>
      </c>
      <c r="FY1" s="44">
        <v>46384</v>
      </c>
      <c r="FZ1" s="44">
        <v>46385</v>
      </c>
      <c r="GA1" s="44">
        <v>46386</v>
      </c>
      <c r="GB1" s="44">
        <v>46387</v>
      </c>
    </row>
    <row r="2" spans="1:184" ht="17.25" customHeight="1" outlineLevel="1">
      <c r="A2" s="23" t="s">
        <v>96</v>
      </c>
      <c r="B2" s="32">
        <f>SUM(C2:MF2)</f>
        <v>1220200</v>
      </c>
      <c r="C2" s="3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45"/>
      <c r="T2" s="45"/>
      <c r="U2" s="46"/>
      <c r="V2" s="45"/>
      <c r="W2" s="45"/>
      <c r="X2" s="45"/>
      <c r="Y2" s="45"/>
      <c r="Z2" s="45"/>
      <c r="AA2" s="47">
        <v>80000</v>
      </c>
      <c r="AB2" s="47">
        <v>80000</v>
      </c>
      <c r="AC2" s="47">
        <v>80000</v>
      </c>
      <c r="AD2" s="47">
        <v>80000</v>
      </c>
      <c r="AE2" s="47">
        <v>80000</v>
      </c>
      <c r="AF2" s="47">
        <v>80000</v>
      </c>
      <c r="AG2" s="48"/>
      <c r="AH2" s="47">
        <v>80000</v>
      </c>
      <c r="AI2" s="47">
        <v>80000</v>
      </c>
      <c r="AJ2" s="47">
        <v>60000</v>
      </c>
      <c r="AK2" s="47"/>
      <c r="AL2" s="49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1"/>
      <c r="BC2" s="52"/>
      <c r="BD2" s="53">
        <v>57800</v>
      </c>
      <c r="BE2" s="53">
        <v>57800</v>
      </c>
      <c r="BF2" s="53">
        <v>57800</v>
      </c>
      <c r="BG2" s="53">
        <v>57800</v>
      </c>
      <c r="BH2" s="53">
        <v>57800</v>
      </c>
      <c r="BI2" s="53"/>
      <c r="BJ2" s="53">
        <v>57800</v>
      </c>
      <c r="BK2" s="53">
        <v>57800</v>
      </c>
      <c r="BL2" s="53">
        <v>57800</v>
      </c>
      <c r="BM2" s="50">
        <v>57800</v>
      </c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51"/>
      <c r="EE2" s="51"/>
      <c r="EF2" s="51"/>
    </row>
    <row r="3" spans="1:184" ht="17.25" customHeight="1" outlineLevel="1">
      <c r="A3" s="30" t="s">
        <v>97</v>
      </c>
      <c r="B3" s="31">
        <v>616116</v>
      </c>
      <c r="C3" s="3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46"/>
      <c r="U3" s="46"/>
      <c r="V3" s="46"/>
      <c r="W3" s="46"/>
      <c r="X3" s="54"/>
      <c r="Y3" s="54"/>
      <c r="Z3" s="50"/>
      <c r="AA3" s="50"/>
      <c r="AB3" s="50"/>
      <c r="AC3" s="50"/>
      <c r="AD3" s="50"/>
      <c r="AE3" s="50"/>
      <c r="AF3" s="51"/>
      <c r="AG3" s="50"/>
      <c r="AH3" s="50"/>
      <c r="AI3" s="50"/>
      <c r="AJ3" s="51"/>
      <c r="AK3" s="51"/>
      <c r="AL3" s="51"/>
      <c r="AM3" s="51"/>
      <c r="AN3" s="51"/>
      <c r="AO3" s="51"/>
      <c r="AP3" s="51"/>
      <c r="AQ3" s="51"/>
      <c r="AR3" s="51"/>
      <c r="AS3" s="50">
        <v>47000</v>
      </c>
      <c r="AT3" s="50">
        <v>47000</v>
      </c>
      <c r="AU3" s="50"/>
      <c r="AV3" s="50">
        <v>47000</v>
      </c>
      <c r="AW3" s="50">
        <v>47000</v>
      </c>
      <c r="AX3" s="50">
        <v>47000</v>
      </c>
      <c r="AY3" s="50">
        <v>47000</v>
      </c>
      <c r="AZ3" s="50">
        <v>46424</v>
      </c>
      <c r="BA3" s="50"/>
      <c r="BB3" s="50"/>
      <c r="BC3" s="55"/>
      <c r="BD3" s="53"/>
      <c r="BE3" s="53"/>
      <c r="BF3" s="53"/>
      <c r="BG3" s="53"/>
      <c r="BH3" s="53"/>
      <c r="BI3" s="53"/>
      <c r="BJ3" s="53"/>
      <c r="BK3" s="53"/>
      <c r="BL3" s="53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>
        <v>24800</v>
      </c>
      <c r="CB3" s="50">
        <v>24800</v>
      </c>
      <c r="CC3" s="50">
        <v>24800</v>
      </c>
      <c r="CD3" s="50"/>
      <c r="CE3" s="50">
        <v>24800</v>
      </c>
      <c r="CF3" s="50">
        <v>24800</v>
      </c>
      <c r="CG3" s="50">
        <v>24800</v>
      </c>
      <c r="CH3" s="50">
        <v>24800</v>
      </c>
      <c r="CI3" s="50"/>
      <c r="CJ3" s="50"/>
      <c r="CK3" s="50"/>
      <c r="CL3" s="50">
        <v>24800</v>
      </c>
      <c r="CM3" s="50">
        <v>24800</v>
      </c>
      <c r="CN3" s="50">
        <v>24800</v>
      </c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</row>
    <row r="4" spans="1:184" ht="17.25" customHeight="1" outlineLevel="1">
      <c r="A4" s="30" t="s">
        <v>98</v>
      </c>
      <c r="B4" s="31">
        <v>94787</v>
      </c>
      <c r="C4" s="31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46"/>
      <c r="U4" s="46"/>
      <c r="V4" s="46"/>
      <c r="W4" s="46"/>
      <c r="X4" s="54"/>
      <c r="Y4" s="54"/>
      <c r="Z4" s="50"/>
      <c r="AA4" s="50"/>
      <c r="AB4" s="50"/>
      <c r="AC4" s="50"/>
      <c r="AD4" s="50"/>
      <c r="AE4" s="50"/>
      <c r="AF4" s="51"/>
      <c r="AG4" s="50"/>
      <c r="AH4" s="50"/>
      <c r="AI4" s="50"/>
      <c r="AJ4" s="51"/>
      <c r="AK4" s="51"/>
      <c r="AL4" s="51"/>
      <c r="AM4" s="51"/>
      <c r="AN4" s="51"/>
      <c r="AO4" s="51"/>
      <c r="AP4" s="51"/>
      <c r="AQ4" s="51"/>
      <c r="AR4" s="51"/>
      <c r="AS4" s="50">
        <v>7100</v>
      </c>
      <c r="AT4" s="50">
        <v>7100</v>
      </c>
      <c r="AU4" s="50"/>
      <c r="AV4" s="50">
        <v>7100</v>
      </c>
      <c r="AW4" s="50">
        <v>7100</v>
      </c>
      <c r="AX4" s="50">
        <v>7100</v>
      </c>
      <c r="AY4" s="50">
        <v>7100</v>
      </c>
      <c r="AZ4" s="50">
        <v>7927</v>
      </c>
      <c r="BA4" s="50"/>
      <c r="BB4" s="50"/>
      <c r="BC4" s="55"/>
      <c r="BD4" s="53"/>
      <c r="BE4" s="53"/>
      <c r="BF4" s="53"/>
      <c r="BG4" s="53"/>
      <c r="BH4" s="53"/>
      <c r="BI4" s="53"/>
      <c r="BJ4" s="53"/>
      <c r="BK4" s="53"/>
      <c r="BL4" s="53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1"/>
      <c r="CL4" s="50">
        <v>20000</v>
      </c>
      <c r="CM4" s="50">
        <v>20000</v>
      </c>
      <c r="CN4" s="50">
        <v>15000</v>
      </c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</row>
    <row r="5" spans="1:184" ht="17.25" customHeight="1" outlineLevel="1">
      <c r="A5" s="30" t="s">
        <v>99</v>
      </c>
      <c r="B5" s="31">
        <v>592419</v>
      </c>
      <c r="C5" s="31"/>
      <c r="D5" s="31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45"/>
      <c r="T5" s="45"/>
      <c r="U5" s="46"/>
      <c r="V5" s="45"/>
      <c r="W5" s="45"/>
      <c r="X5" s="45"/>
      <c r="Y5" s="45"/>
      <c r="Z5" s="45"/>
      <c r="AA5" s="45"/>
      <c r="AB5" s="50"/>
      <c r="AC5" s="46"/>
      <c r="AD5" s="46"/>
      <c r="AE5" s="51"/>
      <c r="AF5" s="51"/>
      <c r="AG5" s="51"/>
      <c r="AH5" s="51"/>
      <c r="AI5" s="51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>
        <v>45000</v>
      </c>
      <c r="BB5" s="51"/>
      <c r="BC5" s="53">
        <v>45000</v>
      </c>
      <c r="BD5" s="53">
        <v>45000</v>
      </c>
      <c r="BE5" s="53">
        <v>45000</v>
      </c>
      <c r="BF5" s="53">
        <v>45000</v>
      </c>
      <c r="BG5" s="53">
        <v>45000</v>
      </c>
      <c r="BH5" s="53">
        <v>45792</v>
      </c>
      <c r="BI5" s="53"/>
      <c r="BJ5" s="53"/>
      <c r="BK5" s="53"/>
      <c r="BL5" s="53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>
        <v>38888</v>
      </c>
      <c r="CC5" s="50">
        <v>38888</v>
      </c>
      <c r="CD5" s="50"/>
      <c r="CE5" s="50">
        <v>38888</v>
      </c>
      <c r="CF5" s="50">
        <v>38888</v>
      </c>
      <c r="CG5" s="50">
        <v>38888</v>
      </c>
      <c r="CH5" s="50">
        <v>38888</v>
      </c>
      <c r="CI5" s="50"/>
      <c r="CJ5" s="50"/>
      <c r="CK5" s="50"/>
      <c r="CL5" s="50">
        <v>38888</v>
      </c>
      <c r="CM5" s="50">
        <v>38888</v>
      </c>
      <c r="CN5" s="50">
        <v>38896</v>
      </c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</row>
    <row r="6" spans="1:184" ht="17.25" customHeight="1" outlineLevel="1">
      <c r="A6" s="30" t="s">
        <v>100</v>
      </c>
      <c r="B6" s="31">
        <v>300000</v>
      </c>
      <c r="C6" s="31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45"/>
      <c r="T6" s="45">
        <v>25000</v>
      </c>
      <c r="U6" s="46">
        <v>25000</v>
      </c>
      <c r="V6" s="45">
        <v>25000</v>
      </c>
      <c r="W6" s="45">
        <v>25000</v>
      </c>
      <c r="X6" s="45"/>
      <c r="Y6" s="45"/>
      <c r="Z6" s="45"/>
      <c r="AA6" s="45"/>
      <c r="AB6" s="50"/>
      <c r="AC6" s="46"/>
      <c r="AD6" s="46"/>
      <c r="AE6" s="51"/>
      <c r="AF6" s="51"/>
      <c r="AG6" s="51"/>
      <c r="AH6" s="51"/>
      <c r="AI6" s="51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1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1"/>
      <c r="CL6" s="56"/>
      <c r="CM6" s="56"/>
      <c r="CN6" s="56"/>
      <c r="CO6" s="51"/>
      <c r="CP6" s="51"/>
      <c r="CQ6" s="51"/>
      <c r="CR6" s="56">
        <v>50000</v>
      </c>
      <c r="CS6" s="56">
        <v>75000</v>
      </c>
      <c r="CT6" s="56">
        <v>75000</v>
      </c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</row>
    <row r="7" spans="1:184" ht="17.25" customHeight="1" outlineLevel="1">
      <c r="A7" s="30" t="s">
        <v>101</v>
      </c>
      <c r="B7" s="31">
        <v>373677</v>
      </c>
      <c r="C7" s="31"/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45"/>
      <c r="T7" s="45">
        <v>10614</v>
      </c>
      <c r="U7" s="46">
        <v>32742</v>
      </c>
      <c r="V7" s="45">
        <v>26249</v>
      </c>
      <c r="W7" s="45">
        <v>25687</v>
      </c>
      <c r="X7" s="45">
        <v>22340</v>
      </c>
      <c r="Y7" s="45"/>
      <c r="Z7" s="45"/>
      <c r="AA7" s="45">
        <v>18953</v>
      </c>
      <c r="AB7" s="50">
        <v>25315</v>
      </c>
      <c r="AC7" s="46">
        <v>25268</v>
      </c>
      <c r="AD7" s="46">
        <v>37509</v>
      </c>
      <c r="AE7" s="45">
        <v>25000</v>
      </c>
      <c r="AF7" s="45">
        <v>25000</v>
      </c>
      <c r="AG7" s="45"/>
      <c r="AH7" s="45">
        <v>25000</v>
      </c>
      <c r="AI7" s="45">
        <v>25000</v>
      </c>
      <c r="AJ7" s="45">
        <v>25000</v>
      </c>
      <c r="AK7" s="45">
        <v>24000</v>
      </c>
      <c r="AL7" s="45"/>
      <c r="AM7" s="45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1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1"/>
      <c r="CL7" s="56"/>
      <c r="CM7" s="56"/>
      <c r="CN7" s="56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</row>
    <row r="8" spans="1:184" ht="17.25" customHeight="1" outlineLevel="1">
      <c r="A8" s="57" t="s">
        <v>102</v>
      </c>
      <c r="B8" s="31">
        <v>3174927</v>
      </c>
      <c r="C8" s="31"/>
      <c r="D8" s="3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46">
        <f>SUM(S2:S6)</f>
        <v>0</v>
      </c>
      <c r="T8" s="46">
        <f t="shared" ref="T8:AY8" si="0">SUM(T2:T7)</f>
        <v>35614</v>
      </c>
      <c r="U8" s="46">
        <f t="shared" si="0"/>
        <v>57742</v>
      </c>
      <c r="V8" s="46">
        <f t="shared" si="0"/>
        <v>51249</v>
      </c>
      <c r="W8" s="46">
        <f t="shared" si="0"/>
        <v>50687</v>
      </c>
      <c r="X8" s="46">
        <f t="shared" si="0"/>
        <v>22340</v>
      </c>
      <c r="Y8" s="46">
        <f t="shared" si="0"/>
        <v>0</v>
      </c>
      <c r="Z8" s="46">
        <f t="shared" si="0"/>
        <v>0</v>
      </c>
      <c r="AA8" s="46">
        <f t="shared" si="0"/>
        <v>98953</v>
      </c>
      <c r="AB8" s="46">
        <f t="shared" si="0"/>
        <v>105315</v>
      </c>
      <c r="AC8" s="46">
        <f t="shared" si="0"/>
        <v>105268</v>
      </c>
      <c r="AD8" s="46">
        <f t="shared" si="0"/>
        <v>117509</v>
      </c>
      <c r="AE8" s="46">
        <f t="shared" si="0"/>
        <v>105000</v>
      </c>
      <c r="AF8" s="46">
        <f t="shared" si="0"/>
        <v>105000</v>
      </c>
      <c r="AG8" s="46">
        <f t="shared" si="0"/>
        <v>0</v>
      </c>
      <c r="AH8" s="46">
        <f t="shared" si="0"/>
        <v>105000</v>
      </c>
      <c r="AI8" s="46">
        <f t="shared" si="0"/>
        <v>105000</v>
      </c>
      <c r="AJ8" s="46">
        <f t="shared" si="0"/>
        <v>85000</v>
      </c>
      <c r="AK8" s="46">
        <f t="shared" si="0"/>
        <v>24000</v>
      </c>
      <c r="AL8" s="46">
        <f t="shared" si="0"/>
        <v>0</v>
      </c>
      <c r="AM8" s="46">
        <f t="shared" si="0"/>
        <v>0</v>
      </c>
      <c r="AN8" s="46">
        <f t="shared" si="0"/>
        <v>0</v>
      </c>
      <c r="AO8" s="46">
        <f t="shared" si="0"/>
        <v>0</v>
      </c>
      <c r="AP8" s="46">
        <f t="shared" si="0"/>
        <v>0</v>
      </c>
      <c r="AQ8" s="46">
        <f t="shared" si="0"/>
        <v>0</v>
      </c>
      <c r="AR8" s="46">
        <f t="shared" si="0"/>
        <v>0</v>
      </c>
      <c r="AS8" s="46">
        <f t="shared" si="0"/>
        <v>54100</v>
      </c>
      <c r="AT8" s="46">
        <f t="shared" si="0"/>
        <v>54100</v>
      </c>
      <c r="AU8" s="46">
        <f t="shared" si="0"/>
        <v>0</v>
      </c>
      <c r="AV8" s="46">
        <f t="shared" si="0"/>
        <v>54100</v>
      </c>
      <c r="AW8" s="46">
        <f t="shared" si="0"/>
        <v>54100</v>
      </c>
      <c r="AX8" s="46">
        <f t="shared" si="0"/>
        <v>54100</v>
      </c>
      <c r="AY8" s="46">
        <f t="shared" si="0"/>
        <v>54100</v>
      </c>
      <c r="AZ8" s="46">
        <f t="shared" ref="AZ8:CE8" si="1">SUM(AZ2:AZ7)</f>
        <v>54351</v>
      </c>
      <c r="BA8" s="46">
        <f t="shared" si="1"/>
        <v>45000</v>
      </c>
      <c r="BB8" s="46">
        <f t="shared" si="1"/>
        <v>0</v>
      </c>
      <c r="BC8" s="46">
        <f t="shared" si="1"/>
        <v>45000</v>
      </c>
      <c r="BD8" s="46">
        <f t="shared" si="1"/>
        <v>102800</v>
      </c>
      <c r="BE8" s="46">
        <f t="shared" si="1"/>
        <v>102800</v>
      </c>
      <c r="BF8" s="46">
        <f t="shared" si="1"/>
        <v>102800</v>
      </c>
      <c r="BG8" s="46">
        <f t="shared" si="1"/>
        <v>102800</v>
      </c>
      <c r="BH8" s="46">
        <f t="shared" si="1"/>
        <v>103592</v>
      </c>
      <c r="BI8" s="46">
        <f t="shared" si="1"/>
        <v>0</v>
      </c>
      <c r="BJ8" s="46">
        <f t="shared" si="1"/>
        <v>57800</v>
      </c>
      <c r="BK8" s="46">
        <f t="shared" si="1"/>
        <v>57800</v>
      </c>
      <c r="BL8" s="46">
        <f t="shared" si="1"/>
        <v>57800</v>
      </c>
      <c r="BM8" s="46">
        <f t="shared" si="1"/>
        <v>57800</v>
      </c>
      <c r="BN8" s="46">
        <f t="shared" si="1"/>
        <v>0</v>
      </c>
      <c r="BO8" s="46">
        <f t="shared" si="1"/>
        <v>0</v>
      </c>
      <c r="BP8" s="46">
        <f t="shared" si="1"/>
        <v>0</v>
      </c>
      <c r="BQ8" s="46">
        <f t="shared" si="1"/>
        <v>0</v>
      </c>
      <c r="BR8" s="46">
        <f t="shared" si="1"/>
        <v>0</v>
      </c>
      <c r="BS8" s="46">
        <f t="shared" si="1"/>
        <v>0</v>
      </c>
      <c r="BT8" s="46">
        <f t="shared" si="1"/>
        <v>0</v>
      </c>
      <c r="BU8" s="46">
        <f t="shared" si="1"/>
        <v>0</v>
      </c>
      <c r="BV8" s="46">
        <f t="shared" si="1"/>
        <v>0</v>
      </c>
      <c r="BW8" s="46">
        <f t="shared" si="1"/>
        <v>0</v>
      </c>
      <c r="BX8" s="46">
        <f t="shared" si="1"/>
        <v>0</v>
      </c>
      <c r="BY8" s="46">
        <f t="shared" si="1"/>
        <v>0</v>
      </c>
      <c r="BZ8" s="46">
        <f t="shared" si="1"/>
        <v>0</v>
      </c>
      <c r="CA8" s="46">
        <f t="shared" si="1"/>
        <v>24800</v>
      </c>
      <c r="CB8" s="46">
        <f t="shared" si="1"/>
        <v>63688</v>
      </c>
      <c r="CC8" s="46">
        <f t="shared" si="1"/>
        <v>63688</v>
      </c>
      <c r="CD8" s="46">
        <f t="shared" si="1"/>
        <v>0</v>
      </c>
      <c r="CE8" s="46">
        <f t="shared" si="1"/>
        <v>63688</v>
      </c>
      <c r="CF8" s="46">
        <f t="shared" ref="CF8:DK8" si="2">SUM(CF2:CF7)</f>
        <v>63688</v>
      </c>
      <c r="CG8" s="46">
        <f t="shared" si="2"/>
        <v>63688</v>
      </c>
      <c r="CH8" s="46">
        <f t="shared" si="2"/>
        <v>63688</v>
      </c>
      <c r="CI8" s="46">
        <f t="shared" si="2"/>
        <v>0</v>
      </c>
      <c r="CJ8" s="46">
        <f t="shared" si="2"/>
        <v>0</v>
      </c>
      <c r="CK8" s="46">
        <f t="shared" si="2"/>
        <v>0</v>
      </c>
      <c r="CL8" s="46">
        <f t="shared" si="2"/>
        <v>83688</v>
      </c>
      <c r="CM8" s="46">
        <f t="shared" si="2"/>
        <v>83688</v>
      </c>
      <c r="CN8" s="46">
        <f t="shared" si="2"/>
        <v>78696</v>
      </c>
      <c r="CO8" s="46">
        <f t="shared" si="2"/>
        <v>0</v>
      </c>
      <c r="CP8" s="46">
        <f t="shared" si="2"/>
        <v>0</v>
      </c>
      <c r="CQ8" s="46">
        <f t="shared" si="2"/>
        <v>0</v>
      </c>
      <c r="CR8" s="46">
        <f t="shared" si="2"/>
        <v>50000</v>
      </c>
      <c r="CS8" s="46">
        <f t="shared" si="2"/>
        <v>75000</v>
      </c>
      <c r="CT8" s="46">
        <f t="shared" si="2"/>
        <v>75000</v>
      </c>
      <c r="CU8" s="46">
        <f t="shared" si="2"/>
        <v>0</v>
      </c>
      <c r="CV8" s="46">
        <f t="shared" si="2"/>
        <v>0</v>
      </c>
      <c r="CW8" s="46">
        <f t="shared" si="2"/>
        <v>0</v>
      </c>
      <c r="CX8" s="46">
        <f t="shared" si="2"/>
        <v>0</v>
      </c>
      <c r="CY8" s="46">
        <f t="shared" si="2"/>
        <v>0</v>
      </c>
      <c r="CZ8" s="46">
        <f t="shared" si="2"/>
        <v>0</v>
      </c>
      <c r="DA8" s="46">
        <f t="shared" si="2"/>
        <v>0</v>
      </c>
      <c r="DB8" s="46">
        <f t="shared" si="2"/>
        <v>0</v>
      </c>
      <c r="DC8" s="46">
        <f t="shared" si="2"/>
        <v>0</v>
      </c>
      <c r="DD8" s="46">
        <f t="shared" si="2"/>
        <v>0</v>
      </c>
      <c r="DE8" s="46">
        <f t="shared" si="2"/>
        <v>0</v>
      </c>
      <c r="DF8" s="46">
        <f t="shared" si="2"/>
        <v>0</v>
      </c>
      <c r="DG8" s="46">
        <f t="shared" si="2"/>
        <v>0</v>
      </c>
      <c r="DH8" s="46">
        <f t="shared" si="2"/>
        <v>0</v>
      </c>
      <c r="DI8" s="46">
        <f t="shared" si="2"/>
        <v>0</v>
      </c>
      <c r="DJ8" s="46">
        <f t="shared" si="2"/>
        <v>0</v>
      </c>
      <c r="DK8" s="46">
        <f t="shared" si="2"/>
        <v>0</v>
      </c>
      <c r="DL8" s="46">
        <f t="shared" ref="DL8:EF8" si="3">SUM(DL2:DL7)</f>
        <v>0</v>
      </c>
      <c r="DM8" s="46">
        <f t="shared" si="3"/>
        <v>0</v>
      </c>
      <c r="DN8" s="46">
        <f t="shared" si="3"/>
        <v>0</v>
      </c>
      <c r="DO8" s="46">
        <f t="shared" si="3"/>
        <v>0</v>
      </c>
      <c r="DP8" s="46">
        <f t="shared" si="3"/>
        <v>0</v>
      </c>
      <c r="DQ8" s="46">
        <f t="shared" si="3"/>
        <v>0</v>
      </c>
      <c r="DR8" s="46">
        <f t="shared" si="3"/>
        <v>0</v>
      </c>
      <c r="DS8" s="46">
        <f t="shared" si="3"/>
        <v>0</v>
      </c>
      <c r="DT8" s="46">
        <f t="shared" si="3"/>
        <v>0</v>
      </c>
      <c r="DU8" s="46">
        <f t="shared" si="3"/>
        <v>0</v>
      </c>
      <c r="DV8" s="46">
        <f t="shared" si="3"/>
        <v>0</v>
      </c>
      <c r="DW8" s="46">
        <f t="shared" si="3"/>
        <v>0</v>
      </c>
      <c r="DX8" s="46">
        <f t="shared" si="3"/>
        <v>0</v>
      </c>
      <c r="DY8" s="46">
        <f t="shared" si="3"/>
        <v>0</v>
      </c>
      <c r="DZ8" s="46">
        <f t="shared" si="3"/>
        <v>0</v>
      </c>
      <c r="EA8" s="46">
        <f t="shared" si="3"/>
        <v>0</v>
      </c>
      <c r="EB8" s="46">
        <f t="shared" si="3"/>
        <v>0</v>
      </c>
      <c r="EC8" s="46">
        <f t="shared" si="3"/>
        <v>0</v>
      </c>
      <c r="ED8" s="46">
        <f t="shared" si="3"/>
        <v>0</v>
      </c>
      <c r="EE8" s="46">
        <f t="shared" si="3"/>
        <v>0</v>
      </c>
      <c r="EF8" s="46">
        <f t="shared" si="3"/>
        <v>0</v>
      </c>
    </row>
    <row r="9" spans="1:184" ht="17.25" customHeight="1" outlineLevel="1">
      <c r="A9" s="58" t="s">
        <v>103</v>
      </c>
      <c r="B9" s="31"/>
      <c r="C9" s="31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45">
        <v>340000</v>
      </c>
      <c r="T9" s="45">
        <v>340000</v>
      </c>
      <c r="U9" s="45">
        <v>340000</v>
      </c>
      <c r="V9" s="45">
        <v>340000</v>
      </c>
      <c r="W9" s="45">
        <v>340000</v>
      </c>
      <c r="X9" s="45">
        <v>340000</v>
      </c>
      <c r="Y9" s="45">
        <v>340000</v>
      </c>
      <c r="Z9" s="45">
        <v>340000</v>
      </c>
      <c r="AA9" s="45">
        <v>340000</v>
      </c>
      <c r="AB9" s="45">
        <v>340000</v>
      </c>
      <c r="AC9" s="45">
        <v>340000</v>
      </c>
      <c r="AD9" s="45">
        <v>340000</v>
      </c>
      <c r="AE9" s="45">
        <v>340000</v>
      </c>
      <c r="AF9" s="45">
        <v>340000</v>
      </c>
      <c r="AG9" s="45">
        <v>340000</v>
      </c>
      <c r="AH9" s="45">
        <v>340000</v>
      </c>
      <c r="AI9" s="45">
        <v>340000</v>
      </c>
      <c r="AJ9" s="45">
        <v>340000</v>
      </c>
      <c r="AK9" s="45">
        <v>340000</v>
      </c>
      <c r="AL9" s="45">
        <v>340000</v>
      </c>
      <c r="AM9" s="45">
        <v>340000</v>
      </c>
      <c r="AN9" s="45">
        <v>340000</v>
      </c>
      <c r="AO9" s="45">
        <v>340000</v>
      </c>
      <c r="AP9" s="45">
        <v>340000</v>
      </c>
      <c r="AQ9" s="45">
        <v>340000</v>
      </c>
      <c r="AR9" s="45">
        <v>340000</v>
      </c>
      <c r="AS9" s="45">
        <v>340000</v>
      </c>
      <c r="AT9" s="45">
        <v>340000</v>
      </c>
      <c r="AU9" s="45">
        <v>340000</v>
      </c>
      <c r="AV9" s="45">
        <v>340000</v>
      </c>
      <c r="AW9" s="45">
        <v>340000</v>
      </c>
      <c r="AX9" s="45">
        <v>340000</v>
      </c>
      <c r="AY9" s="45">
        <v>340000</v>
      </c>
      <c r="AZ9" s="45">
        <v>340000</v>
      </c>
      <c r="BA9" s="45">
        <v>340000</v>
      </c>
      <c r="BB9" s="45">
        <v>340000</v>
      </c>
      <c r="BC9" s="45">
        <v>340000</v>
      </c>
      <c r="BD9" s="45">
        <v>340000</v>
      </c>
      <c r="BE9" s="45">
        <v>340000</v>
      </c>
      <c r="BF9" s="45">
        <v>340000</v>
      </c>
      <c r="BG9" s="45">
        <v>340000</v>
      </c>
      <c r="BH9" s="45">
        <v>340000</v>
      </c>
      <c r="BI9" s="45">
        <v>340000</v>
      </c>
      <c r="BJ9" s="45">
        <v>340000</v>
      </c>
      <c r="BK9" s="45">
        <v>340000</v>
      </c>
      <c r="BL9" s="45">
        <v>340000</v>
      </c>
      <c r="BM9" s="45">
        <v>340000</v>
      </c>
      <c r="BN9" s="45">
        <v>340000</v>
      </c>
      <c r="BO9" s="45">
        <v>340000</v>
      </c>
      <c r="BP9" s="45">
        <v>340000</v>
      </c>
      <c r="BQ9" s="45">
        <v>340000</v>
      </c>
      <c r="BR9" s="45">
        <v>340000</v>
      </c>
      <c r="BS9" s="45">
        <v>340000</v>
      </c>
      <c r="BT9" s="45">
        <v>340000</v>
      </c>
      <c r="BU9" s="45">
        <v>340000</v>
      </c>
      <c r="BV9" s="45">
        <v>340000</v>
      </c>
      <c r="BW9" s="45">
        <v>340000</v>
      </c>
      <c r="BX9" s="45">
        <v>340000</v>
      </c>
      <c r="BY9" s="45">
        <v>340000</v>
      </c>
      <c r="BZ9" s="45">
        <v>340000</v>
      </c>
      <c r="CA9" s="45">
        <v>340000</v>
      </c>
      <c r="CB9" s="45">
        <v>340000</v>
      </c>
      <c r="CC9" s="45">
        <v>340000</v>
      </c>
      <c r="CD9" s="45">
        <v>340000</v>
      </c>
      <c r="CE9" s="45">
        <v>340000</v>
      </c>
      <c r="CF9" s="45">
        <v>340000</v>
      </c>
      <c r="CG9" s="45">
        <v>340000</v>
      </c>
      <c r="CH9" s="45">
        <v>340000</v>
      </c>
      <c r="CI9" s="45">
        <v>340000</v>
      </c>
      <c r="CJ9" s="45">
        <v>340000</v>
      </c>
      <c r="CK9" s="45">
        <v>340000</v>
      </c>
      <c r="CL9" s="45">
        <v>340000</v>
      </c>
      <c r="CM9" s="45">
        <v>340000</v>
      </c>
      <c r="CN9" s="45">
        <v>340000</v>
      </c>
      <c r="CO9" s="45">
        <v>340000</v>
      </c>
      <c r="CP9" s="45">
        <v>340000</v>
      </c>
      <c r="CQ9" s="45">
        <v>340000</v>
      </c>
      <c r="CR9" s="45">
        <v>340000</v>
      </c>
      <c r="CS9" s="45">
        <v>340000</v>
      </c>
      <c r="CT9" s="45">
        <v>340000</v>
      </c>
      <c r="CU9" s="45">
        <v>340000</v>
      </c>
      <c r="CV9" s="45">
        <v>340000</v>
      </c>
      <c r="CW9" s="45">
        <v>340000</v>
      </c>
      <c r="CX9" s="45">
        <v>340000</v>
      </c>
      <c r="CY9" s="45">
        <v>340000</v>
      </c>
      <c r="CZ9" s="45">
        <v>340000</v>
      </c>
      <c r="DA9" s="45">
        <v>340000</v>
      </c>
      <c r="DB9" s="45">
        <v>340000</v>
      </c>
      <c r="DC9" s="45">
        <v>340000</v>
      </c>
      <c r="DD9" s="45">
        <v>340000</v>
      </c>
      <c r="DE9" s="45">
        <v>340000</v>
      </c>
      <c r="DF9" s="45">
        <v>340000</v>
      </c>
      <c r="DG9" s="45">
        <v>340000</v>
      </c>
      <c r="DH9" s="45">
        <v>340000</v>
      </c>
      <c r="DI9" s="45">
        <v>340000</v>
      </c>
      <c r="DJ9" s="45">
        <v>340000</v>
      </c>
      <c r="DK9" s="45">
        <v>340000</v>
      </c>
      <c r="DL9" s="45">
        <v>340000</v>
      </c>
      <c r="DM9" s="45">
        <v>340000</v>
      </c>
      <c r="DN9" s="45">
        <v>340000</v>
      </c>
      <c r="DO9" s="45">
        <v>340000</v>
      </c>
      <c r="DP9" s="45">
        <v>340000</v>
      </c>
      <c r="DQ9" s="45">
        <v>340000</v>
      </c>
      <c r="DR9" s="45">
        <v>340001</v>
      </c>
      <c r="DS9" s="45">
        <v>340002</v>
      </c>
      <c r="DT9" s="45">
        <v>340003</v>
      </c>
      <c r="DU9" s="45">
        <v>340004</v>
      </c>
      <c r="DV9" s="45">
        <v>340005</v>
      </c>
      <c r="DW9" s="45">
        <v>340006</v>
      </c>
      <c r="DX9" s="45">
        <v>340007</v>
      </c>
      <c r="DY9" s="45">
        <v>340008</v>
      </c>
      <c r="DZ9" s="45">
        <v>340009</v>
      </c>
      <c r="EA9" s="45">
        <v>340010</v>
      </c>
      <c r="EB9" s="45">
        <v>340011</v>
      </c>
      <c r="EC9" s="45">
        <v>340012</v>
      </c>
      <c r="ED9" s="45">
        <v>340013</v>
      </c>
      <c r="EE9" s="45">
        <v>340014</v>
      </c>
      <c r="EF9" s="45">
        <v>340015</v>
      </c>
    </row>
    <row r="10" spans="1:184" ht="28.5" customHeight="1" outlineLevel="1">
      <c r="A10" s="58" t="s">
        <v>104</v>
      </c>
      <c r="B10" s="31"/>
      <c r="C10" s="31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59">
        <f>(SUM($S$8:S$8)-SUM($S$11:S$11))/S9</f>
        <v>0</v>
      </c>
      <c r="T10" s="59">
        <f>(SUM($S$8:T$8)-SUM($S$11:T$11))/T9</f>
        <v>0.10474705882352942</v>
      </c>
      <c r="U10" s="59">
        <f>(SUM($S$8:U$8)-SUM($S$11:U$11))/U9</f>
        <v>0.18799117647058824</v>
      </c>
      <c r="V10" s="59">
        <f>(SUM($S$8:V$8)-SUM($S$11:V$11))/V9</f>
        <v>0.27094411764705884</v>
      </c>
      <c r="W10" s="59">
        <f>(SUM($S$8:W$8)-SUM($S$11:W$11))/W9</f>
        <v>0.35066764705882353</v>
      </c>
      <c r="X10" s="59">
        <f>(SUM($S$8:X$8)-SUM($S$11:X$11))/X9</f>
        <v>0.32422058823529409</v>
      </c>
      <c r="Y10" s="59">
        <f>(SUM($S$8:Y$8)-SUM($S$11:Y$11))/Y9</f>
        <v>0.21263235294117647</v>
      </c>
      <c r="Z10" s="59">
        <f>(SUM($S$8:Z$8)-SUM($S$11:Z$11))/Z9</f>
        <v>0.21263235294117647</v>
      </c>
      <c r="AA10" s="59">
        <f>(SUM($S$8:AA$8)-SUM($S$11:AA$11))/AA9</f>
        <v>0.34196176470588235</v>
      </c>
      <c r="AB10" s="59">
        <f>(SUM($S$8:AB$8)-SUM($S$11:AB$11))/AB9</f>
        <v>0.44656176470588238</v>
      </c>
      <c r="AC10" s="59">
        <f>(SUM($S$8:AC$8)-SUM($S$11:AC$11))/AC9</f>
        <v>0.55709411764705885</v>
      </c>
      <c r="AD10" s="59">
        <f>(SUM($S$8:AD$8)-SUM($S$11:AD$11))/AD9</f>
        <v>0.66741470588235297</v>
      </c>
      <c r="AE10" s="59">
        <f>(SUM($S$8:AE$8)-SUM($S$11:AE$11))/AE9</f>
        <v>0.74094411764705881</v>
      </c>
      <c r="AF10" s="59">
        <f>(SUM($S$8:AF$8)-SUM($S$11:AF$11))/AF9</f>
        <v>0.81447352941176465</v>
      </c>
      <c r="AG10" s="59">
        <f>(SUM($S$8:AG$8)-SUM($S$11:AG$11))/AG9</f>
        <v>0.81447352941176465</v>
      </c>
      <c r="AH10" s="59">
        <f>(SUM($S$8:AH$8)-SUM($S$11:AH$11))/AH9</f>
        <v>0.88800294117647061</v>
      </c>
      <c r="AI10" s="59">
        <f>(SUM($S$8:AI$8)-SUM($S$11:AI$11))/AI9</f>
        <v>0.96153235294117645</v>
      </c>
      <c r="AJ10" s="59">
        <f>(SUM($S$8:AJ$8)-SUM($S$11:AJ$11))/AJ9</f>
        <v>0.97623823529411768</v>
      </c>
      <c r="AK10" s="59">
        <f>(SUM($S$8:AK$8)-SUM($S$11:AK$11))/AK9</f>
        <v>0.81153235294117643</v>
      </c>
      <c r="AL10" s="59">
        <f>(SUM($S$8:AL$8)-SUM($S$11:AL$11))/AL9</f>
        <v>0.57623823529411766</v>
      </c>
      <c r="AM10" s="59">
        <f>(SUM($S$8:AM$8)-SUM($S$11:AM$11))/AM9</f>
        <v>0.34094411764705884</v>
      </c>
      <c r="AN10" s="59">
        <f>(SUM($S$8:AN$8)-SUM($S$11:AN$11))/AN9</f>
        <v>0.34094411764705884</v>
      </c>
      <c r="AO10" s="59">
        <f>(SUM($S$8:AO$8)-SUM($S$11:AO$11))/AO9</f>
        <v>0.10564999999999999</v>
      </c>
      <c r="AP10" s="59">
        <f>(SUM($S$8:AP$8)-SUM($S$11:AP$11))/AP9</f>
        <v>-2.3235294117647059E-4</v>
      </c>
      <c r="AQ10" s="59">
        <f>(SUM($S$8:AQ$8)-SUM($S$11:AQ$11))/AQ9</f>
        <v>-2.3235294117647059E-4</v>
      </c>
      <c r="AR10" s="59">
        <f>(SUM($S$8:AR$8)-SUM($S$11:AR$11))/AR9</f>
        <v>-2.3235294117647059E-4</v>
      </c>
      <c r="AS10" s="59">
        <f>(SUM($S$8:AS$8)-SUM($S$11:AS$11))/AS9</f>
        <v>0.15888529411764707</v>
      </c>
      <c r="AT10" s="59">
        <f>(SUM($S$8:AT$8)-SUM($S$11:AT$11))/AT9</f>
        <v>0.15888529411764707</v>
      </c>
      <c r="AU10" s="59">
        <f>(SUM($S$8:AU$8)-SUM($S$11:AU$11))/AU9</f>
        <v>0.15888529411764707</v>
      </c>
      <c r="AV10" s="59">
        <f>(SUM($S$8:AV$8)-SUM($S$11:AV$11))/AV9</f>
        <v>0.15917941176470587</v>
      </c>
      <c r="AW10" s="59">
        <f>(SUM($S$8:AW$8)-SUM($S$11:AW$11))/AW9</f>
        <v>0.15917941176470587</v>
      </c>
      <c r="AX10" s="59">
        <f>(SUM($S$8:AX$8)-SUM($S$11:AX$11))/AX9</f>
        <v>0.15917941176470587</v>
      </c>
      <c r="AY10" s="59">
        <f>(SUM($S$8:AY$8)-SUM($S$11:AY$11))/AY9</f>
        <v>0.15917941176470587</v>
      </c>
      <c r="AZ10" s="59">
        <f>(SUM($S$8:AZ$8)-SUM($S$11:AZ$11))/AZ9</f>
        <v>0.15991764705882353</v>
      </c>
      <c r="BA10" s="59">
        <f>(SUM($S$8:BA$8)-SUM($S$11:BA$11))/BA9</f>
        <v>0.13241470588235293</v>
      </c>
      <c r="BB10" s="59">
        <f>(SUM($S$8:BB$8)-SUM($S$11:BB$11))/BB9</f>
        <v>0.13241470588235293</v>
      </c>
      <c r="BC10" s="59">
        <f>(SUM($S$8:BC$8)-SUM($S$11:BC$11))/BC9</f>
        <v>0.13241470588235293</v>
      </c>
      <c r="BD10" s="59">
        <f>(SUM($S$8:BD$8)-SUM($S$11:BD$11))/BD9</f>
        <v>0.30241470588235292</v>
      </c>
      <c r="BE10" s="59">
        <f>(SUM($S$8:BE$8)-SUM($S$11:BE$11))/BE9</f>
        <v>0.3694735294117647</v>
      </c>
      <c r="BF10" s="59">
        <f>(SUM($S$8:BF$8)-SUM($S$11:BF$11))/BF9</f>
        <v>0.43653235294117648</v>
      </c>
      <c r="BG10" s="59">
        <f>(SUM($S$8:BG$8)-SUM($S$11:BG$11))/BG9</f>
        <v>0.50359117647058826</v>
      </c>
      <c r="BH10" s="59">
        <f>(SUM($S$8:BH$8)-SUM($S$11:BH$11))/BH9</f>
        <v>0.5729794117647059</v>
      </c>
      <c r="BI10" s="59">
        <f>(SUM($S$8:BI$8)-SUM($S$11:BI$11))/BI9</f>
        <v>0.5729794117647059</v>
      </c>
      <c r="BJ10" s="59">
        <f>(SUM($S$8:BJ$8)-SUM($S$11:BJ$11))/BJ9</f>
        <v>0.50768529411764707</v>
      </c>
      <c r="BK10" s="59">
        <f>(SUM($S$8:BK$8)-SUM($S$11:BK$11))/BK9</f>
        <v>0.44239117647058823</v>
      </c>
      <c r="BL10" s="59">
        <f>(SUM($S$8:BL$8)-SUM($S$11:BL$11))/BL9</f>
        <v>0.40650882352941176</v>
      </c>
      <c r="BM10" s="59">
        <f>(SUM($S$8:BM$8)-SUM($S$11:BM$11))/BM9</f>
        <v>0.37062647058823528</v>
      </c>
      <c r="BN10" s="59">
        <f>(SUM($S$8:BN$8)-SUM($S$11:BN$11))/BN9</f>
        <v>0.16474411764705882</v>
      </c>
      <c r="BO10" s="59">
        <f>(SUM($S$8:BO$8)-SUM($S$11:BO$11))/BO9</f>
        <v>3.8235294117647055E-5</v>
      </c>
      <c r="BP10" s="59">
        <f>(SUM($S$8:BP$8)-SUM($S$11:BP$11))/BP9</f>
        <v>3.8235294117647055E-5</v>
      </c>
      <c r="BQ10" s="59">
        <f>(SUM($S$8:BQ$8)-SUM($S$11:BQ$11))/BQ9</f>
        <v>3.8235294117647055E-5</v>
      </c>
      <c r="BR10" s="59">
        <f>(SUM($S$8:BR$8)-SUM($S$11:BR$11))/BR9</f>
        <v>3.8235294117647055E-5</v>
      </c>
      <c r="BS10" s="59">
        <f>(SUM($S$8:BS$8)-SUM($S$11:BS$11))/BS9</f>
        <v>3.8235294117647055E-5</v>
      </c>
      <c r="BT10" s="59">
        <f>(SUM($S$8:BT$8)-SUM($S$11:BT$11))/BT9</f>
        <v>3.8235294117647055E-5</v>
      </c>
      <c r="BU10" s="59">
        <f>(SUM($S$8:BU$8)-SUM($S$11:BU$11))/BU9</f>
        <v>3.8235294117647055E-5</v>
      </c>
      <c r="BV10" s="59">
        <f>(SUM($S$8:BV$8)-SUM($S$11:BV$11))/BV9</f>
        <v>3.8235294117647055E-5</v>
      </c>
      <c r="BW10" s="59">
        <f>(SUM($S$8:BW$8)-SUM($S$11:BW$11))/BW9</f>
        <v>3.8235294117647055E-5</v>
      </c>
      <c r="BX10" s="59">
        <f>(SUM($S$8:BX$8)-SUM($S$11:BX$11))/BX9</f>
        <v>3.8235294117647055E-5</v>
      </c>
      <c r="BY10" s="59">
        <f>(SUM($S$8:BY$8)-SUM($S$11:BY$11))/BY9</f>
        <v>3.8235294117647055E-5</v>
      </c>
      <c r="BZ10" s="59">
        <f>(SUM($S$8:BZ$8)-SUM($S$11:BZ$11))/BZ9</f>
        <v>3.8235294117647055E-5</v>
      </c>
      <c r="CA10" s="59">
        <f>(SUM($S$8:CA$8)-SUM($S$11:CA$11))/CA9</f>
        <v>7.2979411764705876E-2</v>
      </c>
      <c r="CB10" s="59">
        <f>(SUM($S$8:CB$8)-SUM($S$11:CB$11))/CB9</f>
        <v>0.18735588235294118</v>
      </c>
      <c r="CC10" s="59">
        <f>(SUM($S$8:CC$8)-SUM($S$11:CC$11))/CC9</f>
        <v>0.18643823529411765</v>
      </c>
      <c r="CD10" s="59">
        <f>(SUM($S$8:CD$8)-SUM($S$11:CD$11))/CD9</f>
        <v>0.18643823529411765</v>
      </c>
      <c r="CE10" s="59">
        <f>(SUM($S$8:CE$8)-SUM($S$11:CE$11))/CE9</f>
        <v>0.1855205882352941</v>
      </c>
      <c r="CF10" s="59">
        <f>(SUM($S$8:CF$8)-SUM($S$11:CF$11))/CF9</f>
        <v>0.18460294117647058</v>
      </c>
      <c r="CG10" s="59">
        <f>(SUM($S$8:CG$8)-SUM($S$11:CG$11))/CG9</f>
        <v>0.18368529411764706</v>
      </c>
      <c r="CH10" s="59">
        <f>(SUM($S$8:CH$8)-SUM($S$11:CH$11))/CH9</f>
        <v>0.18276764705882353</v>
      </c>
      <c r="CI10" s="59">
        <f>(SUM($S$8:CI$8)-SUM($S$11:CL$11))/CI9</f>
        <v>-5.4676470588235293E-3</v>
      </c>
      <c r="CJ10" s="59">
        <f>(SUM($S$8:CJ$8)-SUM($S$11:CJ$11))/CJ9</f>
        <v>0.18276764705882353</v>
      </c>
      <c r="CK10" s="59">
        <f>(SUM($S$8:CK$8)-SUM($S$11:CK$11))/CK9</f>
        <v>0.18276764705882353</v>
      </c>
      <c r="CL10" s="59">
        <f>(SUM($S$8:CL$8)-SUM($S$11:CL$11))/CL9</f>
        <v>0.2406735294117647</v>
      </c>
      <c r="CM10" s="59">
        <f>(SUM($S$8:CM$8)-SUM($S$11:CM$11))/CM9</f>
        <v>0.25152058823529411</v>
      </c>
      <c r="CN10" s="59">
        <f>(SUM($S$8:CN$8)-SUM($S$11:CN$11))/CN9</f>
        <v>0.24768529411764706</v>
      </c>
      <c r="CO10" s="59">
        <f>(SUM($S$8:CO$8)-SUM($S$11:CO$11))/CO9</f>
        <v>0.24768529411764706</v>
      </c>
      <c r="CP10" s="59">
        <f>(SUM($S$8:CP$8)-SUM($S$11:CP$11))/CP9</f>
        <v>0.24768529411764706</v>
      </c>
      <c r="CQ10" s="59">
        <f>(SUM($S$8:CQ$8)-SUM($S$11:CQ$11))/CQ9</f>
        <v>0.24768529411764706</v>
      </c>
      <c r="CR10" s="59">
        <f>(SUM($S$8:CR$8)-SUM($S$11:CR$11))/CR9</f>
        <v>0.2182735294117647</v>
      </c>
      <c r="CS10" s="59">
        <f>(SUM($S$8:CS$8)-SUM($S$11:CS$11))/CS9</f>
        <v>0.26239117647058824</v>
      </c>
      <c r="CT10" s="59">
        <f>(SUM($S$8:CT$8)-SUM($S$11:CT$11))/CT9</f>
        <v>0.30650882352941178</v>
      </c>
      <c r="CU10" s="59">
        <f>(SUM($S$8:CU$8)-SUM($S$11:CU$11))/CU9</f>
        <v>0.13003823529411765</v>
      </c>
      <c r="CV10" s="59">
        <f>(SUM($S$8:CV$8)-SUM($S$11:CV$11))/CV9</f>
        <v>6.2647058823529409E-4</v>
      </c>
      <c r="CW10" s="59">
        <f>(SUM($S$8:CW$8)-SUM($S$11:CW$11))/CW9</f>
        <v>6.2647058823529409E-4</v>
      </c>
      <c r="CX10" s="59">
        <f>(SUM($S$8:CX$8)-SUM($S$11:CX$11))/CX9</f>
        <v>6.2647058823529409E-4</v>
      </c>
      <c r="CY10" s="59">
        <f>(SUM($S$8:CY$8)-SUM($S$11:CY$11))/CY9</f>
        <v>6.2647058823529409E-4</v>
      </c>
      <c r="CZ10" s="59">
        <f>(SUM($S$8:CZ$8)-SUM($S$11:CZ$11))/CZ9</f>
        <v>6.2647058823529409E-4</v>
      </c>
      <c r="DA10" s="59">
        <f>(SUM($S$8:DA$8)-SUM($S$11:DA$11))/DA9</f>
        <v>6.2647058823529409E-4</v>
      </c>
      <c r="DB10" s="59">
        <f>(SUM($S$8:DB$8)-SUM($S$11:DB$11))/DB9</f>
        <v>6.2647058823529409E-4</v>
      </c>
      <c r="DC10" s="59">
        <f>(SUM($S$8:DC$8)-SUM($S$11:DC$11))/DC9</f>
        <v>6.2647058823529409E-4</v>
      </c>
      <c r="DD10" s="59">
        <f>(SUM($S$8:DD$8)-SUM($S$11:DD$11))/DD9</f>
        <v>6.2647058823529409E-4</v>
      </c>
      <c r="DE10" s="59">
        <f>(SUM($S$8:DE$8)-SUM($S$11:DE$11))/DE9</f>
        <v>6.2647058823529409E-4</v>
      </c>
      <c r="DF10" s="59">
        <f>(SUM($S$8:DF$8)-SUM($S$11:DF$11))/DF9</f>
        <v>6.2647058823529409E-4</v>
      </c>
      <c r="DG10" s="59">
        <f>(SUM($S$8:DG$8)-SUM($S$11:DG$11))/DG9</f>
        <v>6.2647058823529409E-4</v>
      </c>
      <c r="DH10" s="59">
        <f>(SUM($S$8:DH$8)-SUM($S$11:DH$11))/DH9</f>
        <v>6.2647058823529409E-4</v>
      </c>
      <c r="DI10" s="59">
        <f>(SUM($S$8:DI$8)-SUM($S$11:DI$11))/DI9</f>
        <v>6.2647058823529409E-4</v>
      </c>
      <c r="DJ10" s="59">
        <f>(SUM($S$8:DJ$8)-SUM($S$11:DJ$11))/DJ9</f>
        <v>6.2647058823529409E-4</v>
      </c>
      <c r="DK10" s="59">
        <f>(SUM($S$8:DK$8)-SUM($S$11:DK$11))/DK9</f>
        <v>6.2647058823529409E-4</v>
      </c>
      <c r="DL10" s="59">
        <f>(SUM($S$8:DL$8)-SUM($S$11:DL$11))/DL9</f>
        <v>6.2647058823529409E-4</v>
      </c>
      <c r="DM10" s="59">
        <f>(SUM($S$8:DM$8)-SUM($S$11:DM$11))/DM9</f>
        <v>6.2647058823529409E-4</v>
      </c>
      <c r="DN10" s="59">
        <f>(SUM($S$8:DN$8)-SUM($S$11:DN$11))/DN9</f>
        <v>6.2647058823529409E-4</v>
      </c>
      <c r="DO10" s="59">
        <f>(SUM($S$8:DO$8)-SUM($S$11:DO$11))/DO9</f>
        <v>6.2647058823529409E-4</v>
      </c>
      <c r="DP10" s="59">
        <f>(SUM($S$8:DP$8)-SUM($S$11:DP$11))/DP9</f>
        <v>6.2647058823529409E-4</v>
      </c>
      <c r="DQ10" s="59">
        <f>(SUM($S$8:DQ$8)-SUM($S$11:DQ$11))/DQ9</f>
        <v>6.2647058823529409E-4</v>
      </c>
      <c r="DR10" s="59">
        <f>(SUM($S$8:DR$8)-SUM($S$11:DR$11))/DR9</f>
        <v>6.264687456801598E-4</v>
      </c>
      <c r="DS10" s="59">
        <f>(SUM($S$8:DS$8)-SUM($S$11:DS$11))/DS9</f>
        <v>6.2646690313586395E-4</v>
      </c>
      <c r="DT10" s="59">
        <f>(SUM($S$8:DT$8)-SUM($S$11:DT$11))/DT9</f>
        <v>6.2646506060240643E-4</v>
      </c>
      <c r="DU10" s="59">
        <f>(SUM($S$8:DU$8)-SUM($S$11:DU$11))/DU9</f>
        <v>6.2646321807978726E-4</v>
      </c>
      <c r="DV10" s="59">
        <f>(SUM($S$8:DV$8)-SUM($S$11:DV$11))/DV9</f>
        <v>6.2646137556800631E-4</v>
      </c>
      <c r="DW10" s="59">
        <f>(SUM($S$8:DW$8)-SUM($S$11:DW$11))/DW9</f>
        <v>6.2645953306706347E-4</v>
      </c>
      <c r="DX10" s="59">
        <f>(SUM($S$8:DX$8)-SUM($S$11:DX$11))/DX9</f>
        <v>6.2645769057695876E-4</v>
      </c>
      <c r="DY10" s="59">
        <f>(SUM($S$8:DY$8)-SUM($S$11:DY$11))/DY9</f>
        <v>6.2645584809769184E-4</v>
      </c>
      <c r="DZ10" s="59">
        <f>(SUM($S$8:DZ$8)-SUM($S$11:DZ$11))/DZ9</f>
        <v>6.2645400562926271E-4</v>
      </c>
      <c r="EA10" s="59">
        <f>(SUM($S$8:EA$8)-SUM($S$11:EA$11))/EA9</f>
        <v>6.2645216317167138E-4</v>
      </c>
      <c r="EB10" s="59">
        <f>(SUM($S$8:EB$8)-SUM($S$11:EB$11))/EB9</f>
        <v>6.2645032072491773E-4</v>
      </c>
      <c r="EC10" s="59">
        <f>(SUM($S$8:EC$8)-SUM($S$11:EC$11))/EC9</f>
        <v>6.2644847828900155E-4</v>
      </c>
      <c r="ED10" s="59">
        <f>(SUM($S$8:ED$8)-SUM($S$11:ED$11))/ED9</f>
        <v>6.2644663586392283E-4</v>
      </c>
      <c r="EE10" s="59">
        <f>(SUM($S$8:EE$8)-SUM($S$11:EE$11))/EE9</f>
        <v>6.2644479344968148E-4</v>
      </c>
      <c r="EF10" s="59">
        <f>(SUM($S$8:EF$8)-SUM($S$11:EF$11))/EF9</f>
        <v>6.2644295104627738E-4</v>
      </c>
    </row>
    <row r="11" spans="1:184" ht="17.25" customHeight="1" outlineLevel="1">
      <c r="A11" s="30" t="s">
        <v>105</v>
      </c>
      <c r="B11" s="31">
        <v>3175607</v>
      </c>
      <c r="C11" s="31"/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60">
        <f>S8</f>
        <v>0</v>
      </c>
      <c r="U11" s="60">
        <v>29439</v>
      </c>
      <c r="V11" s="60">
        <v>23045</v>
      </c>
      <c r="W11" s="60">
        <v>23581</v>
      </c>
      <c r="X11" s="60">
        <v>31332</v>
      </c>
      <c r="Y11" s="60">
        <v>37940</v>
      </c>
      <c r="Z11" s="60"/>
      <c r="AA11" s="60">
        <v>54981</v>
      </c>
      <c r="AB11" s="60">
        <v>69751</v>
      </c>
      <c r="AC11" s="60">
        <v>67687</v>
      </c>
      <c r="AD11" s="60">
        <v>80000</v>
      </c>
      <c r="AE11" s="60">
        <v>80000</v>
      </c>
      <c r="AF11" s="60">
        <v>80000</v>
      </c>
      <c r="AG11" s="60"/>
      <c r="AH11" s="60">
        <v>80000</v>
      </c>
      <c r="AI11" s="60">
        <v>80000</v>
      </c>
      <c r="AJ11" s="60">
        <v>80000</v>
      </c>
      <c r="AK11" s="60">
        <v>80000</v>
      </c>
      <c r="AL11" s="60">
        <v>80000</v>
      </c>
      <c r="AM11" s="60">
        <v>80000</v>
      </c>
      <c r="AN11" s="60">
        <f>AM8</f>
        <v>0</v>
      </c>
      <c r="AO11" s="60">
        <v>80000</v>
      </c>
      <c r="AP11" s="60">
        <v>36000</v>
      </c>
      <c r="AQ11" s="60">
        <f>AP8</f>
        <v>0</v>
      </c>
      <c r="AR11" s="60">
        <f>AQ8</f>
        <v>0</v>
      </c>
      <c r="AS11" s="60">
        <f>AR8</f>
        <v>0</v>
      </c>
      <c r="AT11" s="60">
        <f>AS8</f>
        <v>54100</v>
      </c>
      <c r="AU11" s="60"/>
      <c r="AV11" s="60">
        <v>54000</v>
      </c>
      <c r="AW11" s="60">
        <f>AV8</f>
        <v>54100</v>
      </c>
      <c r="AX11" s="60">
        <f>AW8</f>
        <v>54100</v>
      </c>
      <c r="AY11" s="60">
        <f>AX8</f>
        <v>54100</v>
      </c>
      <c r="AZ11" s="60">
        <f>AY8</f>
        <v>54100</v>
      </c>
      <c r="BA11" s="60">
        <f>AZ8</f>
        <v>54351</v>
      </c>
      <c r="BB11" s="60"/>
      <c r="BC11" s="60">
        <v>45000</v>
      </c>
      <c r="BD11" s="60">
        <f>BC8</f>
        <v>45000</v>
      </c>
      <c r="BE11" s="60">
        <v>80000</v>
      </c>
      <c r="BF11" s="60">
        <v>80000</v>
      </c>
      <c r="BG11" s="60">
        <v>80000</v>
      </c>
      <c r="BH11" s="60">
        <v>80000</v>
      </c>
      <c r="BI11" s="60"/>
      <c r="BJ11" s="60">
        <v>80000</v>
      </c>
      <c r="BK11" s="60">
        <v>80000</v>
      </c>
      <c r="BL11" s="60">
        <v>70000</v>
      </c>
      <c r="BM11" s="60">
        <v>70000</v>
      </c>
      <c r="BN11" s="60">
        <v>70000</v>
      </c>
      <c r="BO11" s="60">
        <v>56000</v>
      </c>
      <c r="BP11" s="60"/>
      <c r="BQ11" s="60"/>
      <c r="BR11" s="60">
        <f t="shared" ref="BR11:CB11" si="4">BQ8</f>
        <v>0</v>
      </c>
      <c r="BS11" s="60">
        <f t="shared" si="4"/>
        <v>0</v>
      </c>
      <c r="BT11" s="60">
        <f t="shared" si="4"/>
        <v>0</v>
      </c>
      <c r="BU11" s="60">
        <f t="shared" si="4"/>
        <v>0</v>
      </c>
      <c r="BV11" s="60">
        <f t="shared" si="4"/>
        <v>0</v>
      </c>
      <c r="BW11" s="60">
        <f t="shared" si="4"/>
        <v>0</v>
      </c>
      <c r="BX11" s="60">
        <f t="shared" si="4"/>
        <v>0</v>
      </c>
      <c r="BY11" s="60">
        <f t="shared" si="4"/>
        <v>0</v>
      </c>
      <c r="BZ11" s="60">
        <f t="shared" si="4"/>
        <v>0</v>
      </c>
      <c r="CA11" s="60">
        <f t="shared" si="4"/>
        <v>0</v>
      </c>
      <c r="CB11" s="60">
        <f t="shared" si="4"/>
        <v>24800</v>
      </c>
      <c r="CC11" s="60">
        <v>64000</v>
      </c>
      <c r="CD11" s="60"/>
      <c r="CE11" s="60">
        <v>64000</v>
      </c>
      <c r="CF11" s="60">
        <v>64000</v>
      </c>
      <c r="CG11" s="60">
        <v>64000</v>
      </c>
      <c r="CH11" s="60">
        <v>64000</v>
      </c>
      <c r="CI11" s="51"/>
      <c r="CJ11" s="60"/>
      <c r="CK11" s="60"/>
      <c r="CL11" s="60">
        <v>64000</v>
      </c>
      <c r="CM11" s="60">
        <v>80000</v>
      </c>
      <c r="CN11" s="60">
        <v>80000</v>
      </c>
      <c r="CO11" s="60"/>
      <c r="CP11" s="61"/>
      <c r="CQ11" s="60"/>
      <c r="CR11" s="60">
        <v>60000</v>
      </c>
      <c r="CS11" s="60">
        <v>60000</v>
      </c>
      <c r="CT11" s="60">
        <v>60000</v>
      </c>
      <c r="CU11" s="60">
        <v>60000</v>
      </c>
      <c r="CV11" s="60">
        <v>44000</v>
      </c>
      <c r="CW11" s="61">
        <f t="shared" ref="CW11:EF11" si="5">CV8</f>
        <v>0</v>
      </c>
      <c r="CX11" s="60">
        <f t="shared" si="5"/>
        <v>0</v>
      </c>
      <c r="CY11" s="60">
        <f t="shared" si="5"/>
        <v>0</v>
      </c>
      <c r="CZ11" s="60">
        <f t="shared" si="5"/>
        <v>0</v>
      </c>
      <c r="DA11" s="60">
        <f t="shared" si="5"/>
        <v>0</v>
      </c>
      <c r="DB11" s="60">
        <f t="shared" si="5"/>
        <v>0</v>
      </c>
      <c r="DC11" s="60">
        <f t="shared" si="5"/>
        <v>0</v>
      </c>
      <c r="DD11" s="60">
        <f t="shared" si="5"/>
        <v>0</v>
      </c>
      <c r="DE11" s="60">
        <f t="shared" si="5"/>
        <v>0</v>
      </c>
      <c r="DF11" s="60">
        <f t="shared" si="5"/>
        <v>0</v>
      </c>
      <c r="DG11" s="60">
        <f t="shared" si="5"/>
        <v>0</v>
      </c>
      <c r="DH11" s="60">
        <f t="shared" si="5"/>
        <v>0</v>
      </c>
      <c r="DI11" s="60">
        <f t="shared" si="5"/>
        <v>0</v>
      </c>
      <c r="DJ11" s="60">
        <f t="shared" si="5"/>
        <v>0</v>
      </c>
      <c r="DK11" s="60">
        <f t="shared" si="5"/>
        <v>0</v>
      </c>
      <c r="DL11" s="60">
        <f t="shared" si="5"/>
        <v>0</v>
      </c>
      <c r="DM11" s="60">
        <f t="shared" si="5"/>
        <v>0</v>
      </c>
      <c r="DN11" s="60">
        <f t="shared" si="5"/>
        <v>0</v>
      </c>
      <c r="DO11" s="60">
        <f t="shared" si="5"/>
        <v>0</v>
      </c>
      <c r="DP11" s="60">
        <f t="shared" si="5"/>
        <v>0</v>
      </c>
      <c r="DQ11" s="60">
        <f t="shared" si="5"/>
        <v>0</v>
      </c>
      <c r="DR11" s="60">
        <f t="shared" si="5"/>
        <v>0</v>
      </c>
      <c r="DS11" s="60">
        <f t="shared" si="5"/>
        <v>0</v>
      </c>
      <c r="DT11" s="60">
        <f t="shared" si="5"/>
        <v>0</v>
      </c>
      <c r="DU11" s="60">
        <f t="shared" si="5"/>
        <v>0</v>
      </c>
      <c r="DV11" s="60">
        <f t="shared" si="5"/>
        <v>0</v>
      </c>
      <c r="DW11" s="60">
        <f t="shared" si="5"/>
        <v>0</v>
      </c>
      <c r="DX11" s="60">
        <f t="shared" si="5"/>
        <v>0</v>
      </c>
      <c r="DY11" s="60">
        <f t="shared" si="5"/>
        <v>0</v>
      </c>
      <c r="DZ11" s="60">
        <f t="shared" si="5"/>
        <v>0</v>
      </c>
      <c r="EA11" s="60">
        <f t="shared" si="5"/>
        <v>0</v>
      </c>
      <c r="EB11" s="60">
        <f t="shared" si="5"/>
        <v>0</v>
      </c>
      <c r="EC11" s="60">
        <f t="shared" si="5"/>
        <v>0</v>
      </c>
      <c r="ED11" s="60">
        <f t="shared" si="5"/>
        <v>0</v>
      </c>
      <c r="EE11" s="60">
        <f t="shared" si="5"/>
        <v>0</v>
      </c>
      <c r="EF11" s="60">
        <f t="shared" si="5"/>
        <v>0</v>
      </c>
    </row>
    <row r="12" spans="1:184" ht="17.25" customHeight="1" outlineLevel="1">
      <c r="A12" s="57" t="s">
        <v>106</v>
      </c>
      <c r="B12" s="62">
        <v>3176043</v>
      </c>
      <c r="C12" s="62"/>
      <c r="D12" s="62"/>
      <c r="E12" s="63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60"/>
      <c r="U12" s="60">
        <v>12476</v>
      </c>
      <c r="V12" s="60">
        <v>18226</v>
      </c>
      <c r="W12" s="60">
        <v>19085</v>
      </c>
      <c r="X12" s="60">
        <v>37398</v>
      </c>
      <c r="Y12" s="60">
        <v>26946</v>
      </c>
      <c r="Z12" s="60"/>
      <c r="AA12" s="60">
        <v>32383</v>
      </c>
      <c r="AB12" s="60">
        <v>26771</v>
      </c>
      <c r="AC12" s="60">
        <v>48058</v>
      </c>
      <c r="AD12" s="60">
        <v>70000</v>
      </c>
      <c r="AE12" s="60">
        <v>70000</v>
      </c>
      <c r="AF12" s="60">
        <v>70000</v>
      </c>
      <c r="AG12" s="60"/>
      <c r="AH12" s="60">
        <v>70000</v>
      </c>
      <c r="AI12" s="60">
        <v>70000</v>
      </c>
      <c r="AJ12" s="60">
        <v>70000</v>
      </c>
      <c r="AK12" s="60">
        <v>70000</v>
      </c>
      <c r="AL12" s="60">
        <v>70000</v>
      </c>
      <c r="AM12" s="60">
        <v>70000</v>
      </c>
      <c r="AN12" s="60"/>
      <c r="AO12" s="60">
        <v>70000</v>
      </c>
      <c r="AP12" s="60">
        <v>70000</v>
      </c>
      <c r="AQ12" s="60">
        <v>70000</v>
      </c>
      <c r="AR12" s="60">
        <v>70000</v>
      </c>
      <c r="AS12" s="60">
        <v>43000</v>
      </c>
      <c r="AT12" s="60">
        <f>AR11</f>
        <v>0</v>
      </c>
      <c r="AU12" s="60"/>
      <c r="AV12" s="60">
        <v>54100</v>
      </c>
      <c r="AW12" s="60">
        <v>54100</v>
      </c>
      <c r="AX12" s="60">
        <v>54100</v>
      </c>
      <c r="AY12" s="60">
        <v>54100</v>
      </c>
      <c r="AZ12" s="60">
        <v>54100</v>
      </c>
      <c r="BA12" s="60">
        <v>54100</v>
      </c>
      <c r="BB12" s="8"/>
      <c r="BC12" s="60">
        <v>54100</v>
      </c>
      <c r="BD12" s="60">
        <v>45000</v>
      </c>
      <c r="BE12" s="60">
        <v>45000</v>
      </c>
      <c r="BF12" s="60">
        <v>70000</v>
      </c>
      <c r="BG12" s="60">
        <v>70000</v>
      </c>
      <c r="BH12" s="60">
        <v>70000</v>
      </c>
      <c r="BI12" s="8"/>
      <c r="BJ12" s="60">
        <v>70000</v>
      </c>
      <c r="BK12" s="60">
        <v>70000</v>
      </c>
      <c r="BL12" s="60">
        <v>70000</v>
      </c>
      <c r="BM12" s="60">
        <v>70000</v>
      </c>
      <c r="BN12" s="60">
        <v>70000</v>
      </c>
      <c r="BO12" s="60">
        <v>70000</v>
      </c>
      <c r="BP12" s="8"/>
      <c r="BQ12" s="60">
        <v>70000</v>
      </c>
      <c r="BR12" s="60">
        <v>46000</v>
      </c>
      <c r="BS12" s="60"/>
      <c r="BT12" s="60"/>
      <c r="BU12" s="60">
        <f t="shared" ref="BU12:CB12" si="6">BS11</f>
        <v>0</v>
      </c>
      <c r="BV12" s="60">
        <f t="shared" si="6"/>
        <v>0</v>
      </c>
      <c r="BW12" s="60">
        <f t="shared" si="6"/>
        <v>0</v>
      </c>
      <c r="BX12" s="60">
        <f t="shared" si="6"/>
        <v>0</v>
      </c>
      <c r="BY12" s="60">
        <f t="shared" si="6"/>
        <v>0</v>
      </c>
      <c r="BZ12" s="60">
        <f t="shared" si="6"/>
        <v>0</v>
      </c>
      <c r="CA12" s="60">
        <f t="shared" si="6"/>
        <v>0</v>
      </c>
      <c r="CB12" s="61">
        <f t="shared" si="6"/>
        <v>0</v>
      </c>
      <c r="CC12" s="60">
        <v>41000</v>
      </c>
      <c r="CD12" s="61"/>
      <c r="CE12" s="60">
        <v>50000</v>
      </c>
      <c r="CF12" s="60">
        <v>50000</v>
      </c>
      <c r="CG12" s="60">
        <v>50000</v>
      </c>
      <c r="CH12" s="60">
        <v>50000</v>
      </c>
      <c r="CI12" s="51"/>
      <c r="CJ12" s="51"/>
      <c r="CK12" s="51"/>
      <c r="CL12" s="60">
        <v>50000</v>
      </c>
      <c r="CM12" s="60">
        <v>50000</v>
      </c>
      <c r="CN12" s="60">
        <v>50000</v>
      </c>
      <c r="CO12" s="51"/>
      <c r="CP12" s="51"/>
      <c r="CQ12" s="51"/>
      <c r="CR12" s="60">
        <v>60000</v>
      </c>
      <c r="CS12" s="60">
        <v>60000</v>
      </c>
      <c r="CT12" s="60">
        <v>60000</v>
      </c>
      <c r="CU12" s="60">
        <v>60000</v>
      </c>
      <c r="CV12" s="60">
        <v>60000</v>
      </c>
      <c r="CW12" s="60">
        <v>60000</v>
      </c>
      <c r="CX12" s="60">
        <v>50000</v>
      </c>
      <c r="CY12" s="60"/>
      <c r="CZ12" s="60">
        <v>52000</v>
      </c>
      <c r="DA12" s="60">
        <f t="shared" ref="DA12:EF12" si="7">CY11</f>
        <v>0</v>
      </c>
      <c r="DB12" s="60">
        <f t="shared" si="7"/>
        <v>0</v>
      </c>
      <c r="DC12" s="60">
        <f t="shared" si="7"/>
        <v>0</v>
      </c>
      <c r="DD12" s="60">
        <f t="shared" si="7"/>
        <v>0</v>
      </c>
      <c r="DE12" s="60">
        <f t="shared" si="7"/>
        <v>0</v>
      </c>
      <c r="DF12" s="60">
        <f t="shared" si="7"/>
        <v>0</v>
      </c>
      <c r="DG12" s="60">
        <f t="shared" si="7"/>
        <v>0</v>
      </c>
      <c r="DH12" s="60">
        <f t="shared" si="7"/>
        <v>0</v>
      </c>
      <c r="DI12" s="60">
        <f t="shared" si="7"/>
        <v>0</v>
      </c>
      <c r="DJ12" s="60">
        <f t="shared" si="7"/>
        <v>0</v>
      </c>
      <c r="DK12" s="60">
        <f t="shared" si="7"/>
        <v>0</v>
      </c>
      <c r="DL12" s="60">
        <f t="shared" si="7"/>
        <v>0</v>
      </c>
      <c r="DM12" s="60">
        <f t="shared" si="7"/>
        <v>0</v>
      </c>
      <c r="DN12" s="60">
        <f t="shared" si="7"/>
        <v>0</v>
      </c>
      <c r="DO12" s="60">
        <f t="shared" si="7"/>
        <v>0</v>
      </c>
      <c r="DP12" s="60">
        <f t="shared" si="7"/>
        <v>0</v>
      </c>
      <c r="DQ12" s="60">
        <f t="shared" si="7"/>
        <v>0</v>
      </c>
      <c r="DR12" s="60">
        <f t="shared" si="7"/>
        <v>0</v>
      </c>
      <c r="DS12" s="60">
        <f t="shared" si="7"/>
        <v>0</v>
      </c>
      <c r="DT12" s="60">
        <f t="shared" si="7"/>
        <v>0</v>
      </c>
      <c r="DU12" s="60">
        <f t="shared" si="7"/>
        <v>0</v>
      </c>
      <c r="DV12" s="60">
        <f t="shared" si="7"/>
        <v>0</v>
      </c>
      <c r="DW12" s="60">
        <f t="shared" si="7"/>
        <v>0</v>
      </c>
      <c r="DX12" s="60">
        <f t="shared" si="7"/>
        <v>0</v>
      </c>
      <c r="DY12" s="60">
        <f t="shared" si="7"/>
        <v>0</v>
      </c>
      <c r="DZ12" s="60">
        <f t="shared" si="7"/>
        <v>0</v>
      </c>
      <c r="EA12" s="60">
        <f t="shared" si="7"/>
        <v>0</v>
      </c>
      <c r="EB12" s="60">
        <f t="shared" si="7"/>
        <v>0</v>
      </c>
      <c r="EC12" s="60">
        <f t="shared" si="7"/>
        <v>0</v>
      </c>
      <c r="ED12" s="60">
        <f t="shared" si="7"/>
        <v>0</v>
      </c>
      <c r="EE12" s="60">
        <f t="shared" si="7"/>
        <v>0</v>
      </c>
      <c r="EF12" s="60">
        <f t="shared" si="7"/>
        <v>0</v>
      </c>
    </row>
    <row r="13" spans="1:184" s="38" customFormat="1" ht="17.25" customHeight="1" outlineLevel="1">
      <c r="A13" s="64" t="s">
        <v>107</v>
      </c>
      <c r="B13" s="65">
        <f>SUM(S13:MK13)</f>
        <v>1757424.5752881083</v>
      </c>
      <c r="C13" s="65"/>
      <c r="D13" s="65"/>
      <c r="E13" s="65"/>
      <c r="F13" s="65">
        <v>19832</v>
      </c>
      <c r="G13" s="65">
        <v>9916</v>
      </c>
      <c r="H13" s="65">
        <v>9916</v>
      </c>
      <c r="I13" s="65">
        <v>29748</v>
      </c>
      <c r="J13" s="65">
        <v>29748</v>
      </c>
      <c r="K13" s="65"/>
      <c r="L13" s="65"/>
      <c r="M13" s="65">
        <v>48735.568980611097</v>
      </c>
      <c r="N13" s="65">
        <v>24367.784490305599</v>
      </c>
      <c r="O13" s="65">
        <v>24367.784490305599</v>
      </c>
      <c r="P13" s="65">
        <v>73103.3534709167</v>
      </c>
      <c r="Q13" s="65">
        <v>73103.3534709167</v>
      </c>
      <c r="R13" s="63"/>
      <c r="S13" s="66"/>
      <c r="T13" s="65">
        <v>51518.411315193902</v>
      </c>
      <c r="U13" s="65">
        <v>25759.2056575969</v>
      </c>
      <c r="V13" s="65">
        <v>25759.2056575969</v>
      </c>
      <c r="W13" s="65">
        <v>77277.616972790798</v>
      </c>
      <c r="X13" s="65">
        <v>77277.616972790798</v>
      </c>
      <c r="Y13" s="65"/>
      <c r="Z13" s="65"/>
      <c r="AA13" s="67">
        <v>30736.538453393099</v>
      </c>
      <c r="AB13" s="65">
        <v>15368.2692266965</v>
      </c>
      <c r="AC13" s="65">
        <v>15368.2692266965</v>
      </c>
      <c r="AD13" s="65">
        <v>46104.807680089601</v>
      </c>
      <c r="AE13" s="65">
        <v>46104.807680089601</v>
      </c>
      <c r="AF13" s="65"/>
      <c r="AG13" s="65"/>
      <c r="AH13" s="65">
        <v>28427.743126133199</v>
      </c>
      <c r="AI13" s="65">
        <v>14213.871563066599</v>
      </c>
      <c r="AJ13" s="65">
        <v>14213.871563066599</v>
      </c>
      <c r="AK13" s="65">
        <v>42641.6146891998</v>
      </c>
      <c r="AL13" s="65">
        <v>42641.6146891998</v>
      </c>
      <c r="AM13" s="65"/>
      <c r="AN13" s="65"/>
      <c r="AO13" s="65">
        <v>36323.531541878903</v>
      </c>
      <c r="AP13" s="65">
        <v>18161.765770939401</v>
      </c>
      <c r="AQ13" s="65">
        <v>18161.765770939401</v>
      </c>
      <c r="AR13" s="65">
        <v>54485.2973128183</v>
      </c>
      <c r="AS13" s="65">
        <v>54485.2973128183</v>
      </c>
      <c r="AT13" s="65"/>
      <c r="AU13" s="65"/>
      <c r="AV13" s="65">
        <v>27545.1372541727</v>
      </c>
      <c r="AW13" s="65">
        <v>13772.568627086301</v>
      </c>
      <c r="AX13" s="157">
        <v>30000</v>
      </c>
      <c r="AY13" s="157">
        <v>80000</v>
      </c>
      <c r="AZ13" s="157">
        <v>80000</v>
      </c>
      <c r="BA13" s="157">
        <v>33500</v>
      </c>
      <c r="BB13" s="157"/>
      <c r="BC13" s="157">
        <v>33500</v>
      </c>
      <c r="BD13" s="157">
        <v>43500</v>
      </c>
      <c r="BE13" s="157">
        <v>41000</v>
      </c>
      <c r="BF13" s="157">
        <v>43500</v>
      </c>
      <c r="BG13" s="157">
        <v>20000</v>
      </c>
      <c r="BH13" s="157">
        <v>16000</v>
      </c>
      <c r="BI13" s="157"/>
      <c r="BJ13" s="157"/>
      <c r="BK13" s="65">
        <v>35930.818731742504</v>
      </c>
      <c r="BL13" s="65">
        <v>8982.7046829356204</v>
      </c>
      <c r="BM13" s="65">
        <v>17965.409365871201</v>
      </c>
      <c r="BN13" s="65">
        <v>26948.1140488069</v>
      </c>
      <c r="BO13" s="65"/>
      <c r="BP13" s="68"/>
      <c r="BQ13" s="65">
        <v>18363.304463327098</v>
      </c>
      <c r="BR13" s="65">
        <v>9181.6522316635692</v>
      </c>
      <c r="BS13" s="65">
        <v>9181.6522316635692</v>
      </c>
      <c r="BT13" s="65">
        <v>27544.956694990698</v>
      </c>
      <c r="BU13" s="65">
        <v>27544.956694990698</v>
      </c>
      <c r="BV13" s="65"/>
      <c r="BW13" s="65"/>
      <c r="BX13" s="65">
        <v>29376.389296851801</v>
      </c>
      <c r="BY13" s="65">
        <v>14688.194648425901</v>
      </c>
      <c r="BZ13" s="65">
        <v>14688.194648425901</v>
      </c>
      <c r="CA13" s="65">
        <v>44064.583945277802</v>
      </c>
      <c r="CB13" s="65">
        <v>44064.583945277802</v>
      </c>
      <c r="CC13" s="69"/>
      <c r="CD13" s="69"/>
      <c r="CE13" s="65">
        <v>35806.066659647899</v>
      </c>
      <c r="CF13" s="65">
        <v>17903.033329824</v>
      </c>
      <c r="CG13" s="65">
        <v>17903.033329824</v>
      </c>
      <c r="CH13" s="65">
        <v>53709.099989471899</v>
      </c>
      <c r="CI13" s="65">
        <v>53709.099989471899</v>
      </c>
      <c r="CJ13" s="68"/>
      <c r="CK13" s="68"/>
      <c r="CL13" s="65">
        <v>21007.9593181454</v>
      </c>
      <c r="CM13" s="65">
        <v>21007.9593181454</v>
      </c>
      <c r="CN13" s="65">
        <v>10503.9796590727</v>
      </c>
      <c r="CO13" s="65"/>
      <c r="CP13" s="65"/>
      <c r="CQ13" s="68"/>
      <c r="CR13" s="65"/>
      <c r="CS13" s="65"/>
      <c r="CT13" s="65"/>
      <c r="CU13" s="65"/>
      <c r="CV13" s="68"/>
      <c r="CW13" s="69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</row>
    <row r="14" spans="1:184" ht="17.25" customHeight="1" outlineLevel="1">
      <c r="A14" s="70"/>
      <c r="B14" s="71"/>
      <c r="C14" s="71"/>
      <c r="D14" s="71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8"/>
      <c r="DP14" s="8"/>
      <c r="DQ14" s="8"/>
    </row>
    <row r="15" spans="1:184" ht="15" customHeight="1">
      <c r="A15" s="22" t="s">
        <v>108</v>
      </c>
      <c r="B15" s="73" t="s">
        <v>109</v>
      </c>
      <c r="C15" s="74" t="s">
        <v>110</v>
      </c>
      <c r="D15" s="74" t="s">
        <v>111</v>
      </c>
      <c r="E15" s="75" t="s">
        <v>8</v>
      </c>
      <c r="F15" s="76">
        <v>46209</v>
      </c>
      <c r="G15" s="76">
        <v>46210</v>
      </c>
      <c r="H15" s="76">
        <v>46211</v>
      </c>
      <c r="I15" s="76">
        <v>46212</v>
      </c>
      <c r="J15" s="76">
        <v>46213</v>
      </c>
      <c r="K15" s="76">
        <v>46214</v>
      </c>
      <c r="L15" s="76">
        <v>46215</v>
      </c>
      <c r="M15" s="76">
        <v>46216</v>
      </c>
      <c r="N15" s="76">
        <v>46217</v>
      </c>
      <c r="O15" s="76">
        <v>46218</v>
      </c>
      <c r="P15" s="76">
        <v>46219</v>
      </c>
      <c r="Q15" s="76">
        <v>46220</v>
      </c>
      <c r="R15" s="76">
        <v>46221</v>
      </c>
      <c r="S15" s="76">
        <v>46222</v>
      </c>
      <c r="T15" s="76">
        <v>46223</v>
      </c>
      <c r="U15" s="76">
        <v>46224</v>
      </c>
      <c r="V15" s="76">
        <v>46225</v>
      </c>
      <c r="W15" s="76">
        <v>46226</v>
      </c>
      <c r="X15" s="76">
        <v>46227</v>
      </c>
      <c r="Y15" s="76">
        <v>46228</v>
      </c>
      <c r="Z15" s="76">
        <v>46229</v>
      </c>
      <c r="AA15" s="76">
        <v>46230</v>
      </c>
      <c r="AB15" s="76">
        <v>46231</v>
      </c>
      <c r="AC15" s="76">
        <v>46232</v>
      </c>
      <c r="AD15" s="76">
        <v>46233</v>
      </c>
      <c r="AE15" s="76">
        <v>46234</v>
      </c>
      <c r="AF15" s="76">
        <v>46235</v>
      </c>
      <c r="AG15" s="76">
        <v>46236</v>
      </c>
      <c r="AH15" s="76">
        <v>46237</v>
      </c>
      <c r="AI15" s="76">
        <v>46238</v>
      </c>
      <c r="AJ15" s="76">
        <v>46239</v>
      </c>
      <c r="AK15" s="76">
        <v>46240</v>
      </c>
      <c r="AL15" s="76">
        <v>46241</v>
      </c>
      <c r="AM15" s="76">
        <v>46242</v>
      </c>
      <c r="AN15" s="76">
        <v>46243</v>
      </c>
      <c r="AO15" s="76">
        <v>46244</v>
      </c>
      <c r="AP15" s="76">
        <v>46245</v>
      </c>
      <c r="AQ15" s="76">
        <v>46246</v>
      </c>
      <c r="AR15" s="76">
        <v>46247</v>
      </c>
      <c r="AS15" s="76">
        <v>46248</v>
      </c>
      <c r="AT15" s="76">
        <v>46249</v>
      </c>
      <c r="AU15" s="76">
        <v>46250</v>
      </c>
      <c r="AV15" s="76">
        <v>46251</v>
      </c>
      <c r="AW15" s="76">
        <v>46252</v>
      </c>
      <c r="AX15" s="76">
        <v>46253</v>
      </c>
      <c r="AY15" s="76">
        <v>46254</v>
      </c>
      <c r="AZ15" s="76">
        <v>46255</v>
      </c>
      <c r="BA15" s="76">
        <v>46256</v>
      </c>
      <c r="BB15" s="76">
        <v>46257</v>
      </c>
      <c r="BC15" s="76">
        <v>46258</v>
      </c>
      <c r="BD15" s="76">
        <v>46259</v>
      </c>
      <c r="BE15" s="76">
        <v>46260</v>
      </c>
      <c r="BF15" s="76">
        <v>46261</v>
      </c>
      <c r="BG15" s="76">
        <v>46262</v>
      </c>
      <c r="BH15" s="76">
        <v>46263</v>
      </c>
      <c r="BI15" s="76">
        <v>46264</v>
      </c>
      <c r="BJ15" s="76">
        <v>46265</v>
      </c>
      <c r="BK15" s="76">
        <v>46266</v>
      </c>
      <c r="BL15" s="76">
        <v>46267</v>
      </c>
      <c r="BM15" s="76">
        <v>46268</v>
      </c>
      <c r="BN15" s="76">
        <v>46269</v>
      </c>
      <c r="BO15" s="76">
        <v>46270</v>
      </c>
      <c r="BP15" s="76">
        <v>46271</v>
      </c>
      <c r="BQ15" s="76">
        <v>46272</v>
      </c>
      <c r="BR15" s="76">
        <v>46273</v>
      </c>
      <c r="BS15" s="76">
        <v>46274</v>
      </c>
      <c r="BT15" s="76">
        <v>46275</v>
      </c>
      <c r="BU15" s="76">
        <v>46276</v>
      </c>
      <c r="BV15" s="76">
        <v>46277</v>
      </c>
      <c r="BW15" s="76">
        <v>46278</v>
      </c>
      <c r="BX15" s="76">
        <v>46279</v>
      </c>
      <c r="BY15" s="76">
        <v>46280</v>
      </c>
      <c r="BZ15" s="76">
        <v>46281</v>
      </c>
      <c r="CA15" s="76">
        <v>46282</v>
      </c>
      <c r="CB15" s="76">
        <v>46283</v>
      </c>
      <c r="CC15" s="76">
        <v>46284</v>
      </c>
      <c r="CD15" s="76">
        <v>46285</v>
      </c>
      <c r="CE15" s="76">
        <v>46286</v>
      </c>
      <c r="CF15" s="76">
        <v>46287</v>
      </c>
      <c r="CG15" s="76">
        <v>46288</v>
      </c>
      <c r="CH15" s="76">
        <v>46289</v>
      </c>
      <c r="CI15" s="76">
        <v>46290</v>
      </c>
      <c r="CJ15" s="76">
        <v>46291</v>
      </c>
      <c r="CK15" s="76">
        <v>46292</v>
      </c>
      <c r="CL15" s="76">
        <v>46293</v>
      </c>
      <c r="CM15" s="76">
        <v>46294</v>
      </c>
      <c r="CN15" s="76">
        <v>46295</v>
      </c>
      <c r="CO15" s="76">
        <v>46296</v>
      </c>
      <c r="CP15" s="76">
        <v>46297</v>
      </c>
      <c r="CQ15" s="76">
        <v>46298</v>
      </c>
      <c r="CR15" s="76">
        <v>46299</v>
      </c>
      <c r="CS15" s="76">
        <v>46300</v>
      </c>
      <c r="CT15" s="76">
        <v>46301</v>
      </c>
      <c r="CU15" s="76">
        <v>46302</v>
      </c>
      <c r="CV15" s="76">
        <v>46303</v>
      </c>
      <c r="CW15" s="76">
        <v>46304</v>
      </c>
      <c r="CX15" s="76">
        <v>46305</v>
      </c>
      <c r="CY15" s="76">
        <v>46306</v>
      </c>
      <c r="CZ15" s="76">
        <v>46307</v>
      </c>
      <c r="DA15" s="76">
        <v>46308</v>
      </c>
      <c r="DB15" s="76">
        <v>46309</v>
      </c>
      <c r="DC15" s="76">
        <v>46310</v>
      </c>
      <c r="DD15" s="76">
        <v>46311</v>
      </c>
      <c r="DE15" s="76">
        <v>46312</v>
      </c>
      <c r="DF15" s="76">
        <v>46313</v>
      </c>
      <c r="DG15" s="76">
        <v>46314</v>
      </c>
      <c r="DH15" s="76">
        <v>46315</v>
      </c>
      <c r="DI15" s="76">
        <v>46316</v>
      </c>
      <c r="DJ15" s="76">
        <v>46317</v>
      </c>
      <c r="DK15" s="76">
        <v>46318</v>
      </c>
      <c r="DL15" s="76">
        <v>46319</v>
      </c>
      <c r="DM15" s="76">
        <v>46320</v>
      </c>
      <c r="DN15" s="76">
        <v>46321</v>
      </c>
      <c r="DO15" s="76">
        <v>46322</v>
      </c>
      <c r="DP15" s="76">
        <v>46323</v>
      </c>
      <c r="DQ15" s="76">
        <v>46324</v>
      </c>
      <c r="DR15" s="76">
        <v>46325</v>
      </c>
      <c r="DS15" s="76">
        <v>46326</v>
      </c>
      <c r="DT15" s="76">
        <v>46327</v>
      </c>
      <c r="DU15" s="76">
        <v>46328</v>
      </c>
      <c r="DV15" s="76">
        <v>46329</v>
      </c>
      <c r="DW15" s="76">
        <v>46330</v>
      </c>
      <c r="DX15" s="76">
        <v>46331</v>
      </c>
      <c r="DY15" s="76">
        <v>46332</v>
      </c>
      <c r="DZ15" s="76">
        <v>46333</v>
      </c>
      <c r="EA15" s="76">
        <v>46334</v>
      </c>
      <c r="EB15" s="76">
        <v>46335</v>
      </c>
      <c r="EC15" s="76">
        <v>46336</v>
      </c>
      <c r="ED15" s="76">
        <v>46337</v>
      </c>
      <c r="EE15" s="76">
        <v>46338</v>
      </c>
      <c r="EF15" s="76">
        <v>46339</v>
      </c>
      <c r="EG15" s="76">
        <v>46340</v>
      </c>
      <c r="EH15" s="76">
        <v>46341</v>
      </c>
      <c r="EI15" s="76">
        <v>46342</v>
      </c>
      <c r="EJ15" s="76">
        <v>46343</v>
      </c>
      <c r="EK15" s="76">
        <v>46344</v>
      </c>
      <c r="EL15" s="76">
        <v>46345</v>
      </c>
      <c r="EM15" s="76">
        <v>46346</v>
      </c>
      <c r="EN15" s="76">
        <v>46347</v>
      </c>
      <c r="EO15" s="76">
        <v>46348</v>
      </c>
      <c r="EP15" s="76">
        <v>46349</v>
      </c>
      <c r="EQ15" s="76">
        <v>46350</v>
      </c>
      <c r="ER15" s="76">
        <v>46351</v>
      </c>
      <c r="ES15" s="76">
        <v>46352</v>
      </c>
      <c r="ET15" s="76">
        <v>46353</v>
      </c>
      <c r="EU15" s="76">
        <v>46354</v>
      </c>
      <c r="EV15" s="76">
        <v>46355</v>
      </c>
      <c r="EW15" s="76">
        <v>46356</v>
      </c>
      <c r="EX15" s="76">
        <v>46357</v>
      </c>
      <c r="EY15" s="76">
        <v>46358</v>
      </c>
      <c r="EZ15" s="76">
        <v>46359</v>
      </c>
      <c r="FA15" s="76">
        <v>46360</v>
      </c>
      <c r="FB15" s="76">
        <v>46361</v>
      </c>
      <c r="FC15" s="76">
        <v>46362</v>
      </c>
      <c r="FD15" s="76">
        <v>46363</v>
      </c>
      <c r="FE15" s="76">
        <v>46364</v>
      </c>
      <c r="FF15" s="76">
        <v>46365</v>
      </c>
      <c r="FG15" s="76">
        <v>46366</v>
      </c>
      <c r="FH15" s="76">
        <v>46367</v>
      </c>
      <c r="FI15" s="76">
        <v>46368</v>
      </c>
      <c r="FJ15" s="76">
        <v>46369</v>
      </c>
      <c r="FK15" s="76">
        <v>46370</v>
      </c>
      <c r="FL15" s="76">
        <v>46371</v>
      </c>
      <c r="FM15" s="76">
        <v>46372</v>
      </c>
      <c r="FN15" s="76">
        <v>46373</v>
      </c>
      <c r="FO15" s="76">
        <v>46374</v>
      </c>
      <c r="FP15" s="76">
        <v>46375</v>
      </c>
      <c r="FQ15" s="76">
        <v>46376</v>
      </c>
      <c r="FR15" s="76">
        <v>46377</v>
      </c>
      <c r="FS15" s="76">
        <v>46378</v>
      </c>
      <c r="FT15" s="76">
        <v>46379</v>
      </c>
      <c r="FU15" s="76">
        <v>46380</v>
      </c>
      <c r="FV15" s="76">
        <v>46381</v>
      </c>
      <c r="FW15" s="76">
        <v>46382</v>
      </c>
      <c r="FX15" s="76">
        <v>46383</v>
      </c>
      <c r="FY15" s="76">
        <v>46384</v>
      </c>
      <c r="FZ15" s="76">
        <v>46385</v>
      </c>
      <c r="GA15" s="76">
        <v>46386</v>
      </c>
      <c r="GB15" s="76">
        <v>46387</v>
      </c>
    </row>
    <row r="16" spans="1:184" ht="15.55" customHeight="1" outlineLevel="2">
      <c r="A16" s="169" t="s">
        <v>356</v>
      </c>
      <c r="B16" s="170" t="s">
        <v>357</v>
      </c>
      <c r="C16" s="171">
        <v>46243</v>
      </c>
      <c r="D16" s="171">
        <v>46245</v>
      </c>
      <c r="E16" s="172">
        <v>2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8"/>
      <c r="AN16" s="78"/>
      <c r="AO16" s="79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  <c r="FU16" s="77"/>
      <c r="FV16" s="77"/>
      <c r="FW16" s="77"/>
      <c r="FX16" s="77"/>
      <c r="FY16" s="77"/>
      <c r="FZ16" s="77"/>
      <c r="GA16" s="77"/>
      <c r="GB16" s="77"/>
    </row>
    <row r="17" spans="1:184" ht="15.55" customHeight="1" outlineLevel="2">
      <c r="A17" s="173"/>
      <c r="B17" s="170" t="s">
        <v>358</v>
      </c>
      <c r="C17" s="171">
        <v>46245</v>
      </c>
      <c r="D17" s="171">
        <v>46257</v>
      </c>
      <c r="E17" s="172">
        <v>12</v>
      </c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8"/>
      <c r="AN17" s="78"/>
      <c r="AO17" s="79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>
        <v>2</v>
      </c>
      <c r="BA17" s="77">
        <v>2</v>
      </c>
      <c r="BB17" s="77">
        <v>2</v>
      </c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  <c r="DP17" s="77"/>
      <c r="DQ17" s="77"/>
      <c r="DR17" s="77"/>
      <c r="DS17" s="77"/>
      <c r="DT17" s="77"/>
      <c r="DU17" s="77"/>
      <c r="DV17" s="77"/>
      <c r="DW17" s="77"/>
      <c r="DX17" s="77"/>
      <c r="DY17" s="77"/>
      <c r="DZ17" s="77"/>
      <c r="EA17" s="77"/>
      <c r="EB17" s="77"/>
      <c r="EC17" s="77"/>
      <c r="ED17" s="77"/>
      <c r="EE17" s="77"/>
      <c r="EF17" s="77"/>
      <c r="EG17" s="77"/>
      <c r="EH17" s="77"/>
      <c r="EI17" s="77"/>
      <c r="EJ17" s="77"/>
      <c r="EK17" s="77"/>
      <c r="EL17" s="77"/>
      <c r="EM17" s="77"/>
      <c r="EN17" s="77"/>
      <c r="EO17" s="77"/>
      <c r="EP17" s="77"/>
      <c r="EQ17" s="77"/>
      <c r="ER17" s="77"/>
      <c r="ES17" s="77"/>
      <c r="ET17" s="77"/>
      <c r="EU17" s="77"/>
      <c r="EV17" s="77"/>
      <c r="EW17" s="77"/>
      <c r="EX17" s="77"/>
      <c r="EY17" s="77"/>
      <c r="EZ17" s="77"/>
      <c r="FA17" s="77"/>
      <c r="FB17" s="77"/>
      <c r="FC17" s="77"/>
      <c r="FD17" s="77"/>
      <c r="FE17" s="77"/>
      <c r="FF17" s="77"/>
      <c r="FG17" s="77"/>
      <c r="FH17" s="77"/>
      <c r="FI17" s="77"/>
      <c r="FJ17" s="77"/>
      <c r="FK17" s="77"/>
      <c r="FL17" s="77"/>
      <c r="FM17" s="77"/>
      <c r="FN17" s="77"/>
      <c r="FO17" s="77"/>
      <c r="FP17" s="77"/>
      <c r="FQ17" s="77"/>
      <c r="FR17" s="77"/>
      <c r="FS17" s="77"/>
      <c r="FT17" s="77"/>
      <c r="FU17" s="77"/>
      <c r="FV17" s="77"/>
      <c r="FW17" s="77"/>
      <c r="FX17" s="77"/>
      <c r="FY17" s="77"/>
      <c r="FZ17" s="77"/>
      <c r="GA17" s="77"/>
      <c r="GB17" s="77"/>
    </row>
    <row r="18" spans="1:184" ht="15.55" customHeight="1" outlineLevel="2">
      <c r="A18" s="174"/>
      <c r="B18" s="170" t="s">
        <v>359</v>
      </c>
      <c r="C18" s="171">
        <v>46251</v>
      </c>
      <c r="D18" s="171">
        <v>46257</v>
      </c>
      <c r="E18" s="172">
        <v>6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8"/>
      <c r="AN18" s="78"/>
      <c r="AO18" s="79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>
        <v>2</v>
      </c>
      <c r="BA18" s="77">
        <v>2</v>
      </c>
      <c r="BB18" s="77">
        <v>2</v>
      </c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77"/>
      <c r="DQ18" s="77"/>
      <c r="DR18" s="77"/>
      <c r="DS18" s="77"/>
      <c r="DT18" s="77"/>
      <c r="DU18" s="77"/>
      <c r="DV18" s="77"/>
      <c r="DW18" s="77"/>
      <c r="DX18" s="77"/>
      <c r="DY18" s="77"/>
      <c r="DZ18" s="77"/>
      <c r="EA18" s="77"/>
      <c r="EB18" s="77"/>
      <c r="EC18" s="77"/>
      <c r="ED18" s="77"/>
      <c r="EE18" s="77"/>
      <c r="EF18" s="77"/>
      <c r="EG18" s="77"/>
      <c r="EH18" s="77"/>
      <c r="EI18" s="77"/>
      <c r="EJ18" s="77"/>
      <c r="EK18" s="77"/>
      <c r="EL18" s="77"/>
      <c r="EM18" s="77"/>
      <c r="EN18" s="77"/>
      <c r="EO18" s="77"/>
      <c r="EP18" s="77"/>
      <c r="EQ18" s="77"/>
      <c r="ER18" s="77"/>
      <c r="ES18" s="77"/>
      <c r="ET18" s="77"/>
      <c r="EU18" s="77"/>
      <c r="EV18" s="77"/>
      <c r="EW18" s="77"/>
      <c r="EX18" s="77"/>
      <c r="EY18" s="77"/>
      <c r="EZ18" s="77"/>
      <c r="FA18" s="77"/>
      <c r="FB18" s="77"/>
      <c r="FC18" s="77"/>
      <c r="FD18" s="77"/>
      <c r="FE18" s="77"/>
      <c r="FF18" s="77"/>
      <c r="FG18" s="77"/>
      <c r="FH18" s="77"/>
      <c r="FI18" s="77"/>
      <c r="FJ18" s="77"/>
      <c r="FK18" s="77"/>
      <c r="FL18" s="77"/>
      <c r="FM18" s="77"/>
      <c r="FN18" s="77"/>
      <c r="FO18" s="77"/>
      <c r="FP18" s="77"/>
      <c r="FQ18" s="77"/>
      <c r="FR18" s="77"/>
      <c r="FS18" s="77"/>
      <c r="FT18" s="77"/>
      <c r="FU18" s="77"/>
      <c r="FV18" s="77"/>
      <c r="FW18" s="77"/>
      <c r="FX18" s="77"/>
      <c r="FY18" s="77"/>
      <c r="FZ18" s="77"/>
      <c r="GA18" s="77"/>
      <c r="GB18" s="77"/>
    </row>
    <row r="19" spans="1:184" ht="15.55" customHeight="1" outlineLevel="2">
      <c r="A19" s="169" t="s">
        <v>360</v>
      </c>
      <c r="B19" s="170" t="s">
        <v>357</v>
      </c>
      <c r="C19" s="171">
        <v>46253</v>
      </c>
      <c r="D19" s="171">
        <v>46254</v>
      </c>
      <c r="E19" s="172">
        <v>2</v>
      </c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8"/>
      <c r="AN19" s="78"/>
      <c r="AO19" s="79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  <c r="EM19" s="77"/>
      <c r="EN19" s="77"/>
      <c r="EO19" s="77"/>
      <c r="EP19" s="77"/>
      <c r="EQ19" s="77"/>
      <c r="ER19" s="77"/>
      <c r="ES19" s="77"/>
      <c r="ET19" s="77"/>
      <c r="EU19" s="77"/>
      <c r="EV19" s="77"/>
      <c r="EW19" s="77"/>
      <c r="EX19" s="77"/>
      <c r="EY19" s="77"/>
      <c r="EZ19" s="77"/>
      <c r="FA19" s="77"/>
      <c r="FB19" s="77"/>
      <c r="FC19" s="77"/>
      <c r="FD19" s="77"/>
      <c r="FE19" s="77"/>
      <c r="FF19" s="77"/>
      <c r="FG19" s="77"/>
      <c r="FH19" s="77"/>
      <c r="FI19" s="77"/>
      <c r="FJ19" s="77"/>
      <c r="FK19" s="77"/>
      <c r="FL19" s="77"/>
      <c r="FM19" s="77"/>
      <c r="FN19" s="77"/>
      <c r="FO19" s="77"/>
      <c r="FP19" s="77"/>
      <c r="FQ19" s="77"/>
      <c r="FR19" s="77"/>
      <c r="FS19" s="77"/>
      <c r="FT19" s="77"/>
      <c r="FU19" s="77"/>
      <c r="FV19" s="77"/>
      <c r="FW19" s="77"/>
      <c r="FX19" s="77"/>
      <c r="FY19" s="77"/>
      <c r="FZ19" s="77"/>
      <c r="GA19" s="77"/>
      <c r="GB19" s="77"/>
    </row>
    <row r="20" spans="1:184" ht="15.55" customHeight="1" outlineLevel="2">
      <c r="A20" s="173"/>
      <c r="B20" s="170" t="s">
        <v>358</v>
      </c>
      <c r="C20" s="171">
        <v>46255</v>
      </c>
      <c r="D20" s="171">
        <v>46256</v>
      </c>
      <c r="E20" s="172">
        <v>2</v>
      </c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8"/>
      <c r="AN20" s="78"/>
      <c r="AO20" s="79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>
        <v>2</v>
      </c>
      <c r="BA20" s="77">
        <v>2</v>
      </c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  <c r="DV20" s="77"/>
      <c r="DW20" s="77"/>
      <c r="DX20" s="77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  <c r="EM20" s="77"/>
      <c r="EN20" s="77"/>
      <c r="EO20" s="77"/>
      <c r="EP20" s="77"/>
      <c r="EQ20" s="77"/>
      <c r="ER20" s="77"/>
      <c r="ES20" s="77"/>
      <c r="ET20" s="77"/>
      <c r="EU20" s="77"/>
      <c r="EV20" s="77"/>
      <c r="EW20" s="77"/>
      <c r="EX20" s="77"/>
      <c r="EY20" s="77"/>
      <c r="EZ20" s="77"/>
      <c r="FA20" s="77"/>
      <c r="FB20" s="77"/>
      <c r="FC20" s="77"/>
      <c r="FD20" s="77"/>
      <c r="FE20" s="77"/>
      <c r="FF20" s="77"/>
      <c r="FG20" s="77"/>
      <c r="FH20" s="77"/>
      <c r="FI20" s="77"/>
      <c r="FJ20" s="77"/>
      <c r="FK20" s="77"/>
      <c r="FL20" s="77"/>
      <c r="FM20" s="77"/>
      <c r="FN20" s="77"/>
      <c r="FO20" s="77"/>
      <c r="FP20" s="77"/>
      <c r="FQ20" s="77"/>
      <c r="FR20" s="77"/>
      <c r="FS20" s="77"/>
      <c r="FT20" s="77"/>
      <c r="FU20" s="77"/>
      <c r="FV20" s="77"/>
      <c r="FW20" s="77"/>
      <c r="FX20" s="77"/>
      <c r="FY20" s="77"/>
      <c r="FZ20" s="77"/>
      <c r="GA20" s="77"/>
      <c r="GB20" s="77"/>
    </row>
    <row r="21" spans="1:184" ht="15.55" customHeight="1" outlineLevel="2">
      <c r="A21" s="174"/>
      <c r="B21" s="170" t="s">
        <v>359</v>
      </c>
      <c r="C21" s="171">
        <v>46256</v>
      </c>
      <c r="D21" s="171">
        <v>46257</v>
      </c>
      <c r="E21" s="172">
        <v>2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8"/>
      <c r="AN21" s="78"/>
      <c r="AO21" s="79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>
        <v>2</v>
      </c>
      <c r="BB21" s="77">
        <v>2</v>
      </c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77"/>
      <c r="DX21" s="77"/>
      <c r="DY21" s="77"/>
      <c r="DZ21" s="77"/>
      <c r="EA21" s="77"/>
      <c r="EB21" s="77"/>
      <c r="EC21" s="77"/>
      <c r="ED21" s="77"/>
      <c r="EE21" s="77"/>
      <c r="EF21" s="77"/>
      <c r="EG21" s="77"/>
      <c r="EH21" s="77"/>
      <c r="EI21" s="77"/>
      <c r="EJ21" s="77"/>
      <c r="EK21" s="77"/>
      <c r="EL21" s="77"/>
      <c r="EM21" s="77"/>
      <c r="EN21" s="77"/>
      <c r="EO21" s="77"/>
      <c r="EP21" s="77"/>
      <c r="EQ21" s="77"/>
      <c r="ER21" s="77"/>
      <c r="ES21" s="77"/>
      <c r="ET21" s="77"/>
      <c r="EU21" s="77"/>
      <c r="EV21" s="77"/>
      <c r="EW21" s="77"/>
      <c r="EX21" s="77"/>
      <c r="EY21" s="77"/>
      <c r="EZ21" s="77"/>
      <c r="FA21" s="77"/>
      <c r="FB21" s="77"/>
      <c r="FC21" s="77"/>
      <c r="FD21" s="77"/>
      <c r="FE21" s="77"/>
      <c r="FF21" s="77"/>
      <c r="FG21" s="77"/>
      <c r="FH21" s="77"/>
      <c r="FI21" s="77"/>
      <c r="FJ21" s="77"/>
      <c r="FK21" s="77"/>
      <c r="FL21" s="77"/>
      <c r="FM21" s="77"/>
      <c r="FN21" s="77"/>
      <c r="FO21" s="77"/>
      <c r="FP21" s="77"/>
      <c r="FQ21" s="77"/>
      <c r="FR21" s="77"/>
      <c r="FS21" s="77"/>
      <c r="FT21" s="77"/>
      <c r="FU21" s="77"/>
      <c r="FV21" s="77"/>
      <c r="FW21" s="77"/>
      <c r="FX21" s="77"/>
      <c r="FY21" s="77"/>
      <c r="FZ21" s="77"/>
      <c r="GA21" s="77"/>
      <c r="GB21" s="77"/>
    </row>
    <row r="22" spans="1:184" ht="15.55" customHeight="1" outlineLevel="2">
      <c r="A22" s="169" t="s">
        <v>361</v>
      </c>
      <c r="B22" s="175" t="s">
        <v>362</v>
      </c>
      <c r="C22" s="171">
        <v>46264</v>
      </c>
      <c r="D22" s="171">
        <f>C22+E22</f>
        <v>46265</v>
      </c>
      <c r="E22" s="172">
        <v>1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8"/>
      <c r="AN22" s="78"/>
      <c r="AO22" s="79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>
        <v>2</v>
      </c>
      <c r="BJ22" s="77">
        <v>2</v>
      </c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/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  <c r="FU22" s="77"/>
      <c r="FV22" s="77"/>
      <c r="FW22" s="77"/>
      <c r="FX22" s="77"/>
      <c r="FY22" s="77"/>
      <c r="FZ22" s="77"/>
      <c r="GA22" s="77"/>
      <c r="GB22" s="77"/>
    </row>
    <row r="23" spans="1:184" ht="15.55" customHeight="1" outlineLevel="2">
      <c r="A23" s="173"/>
      <c r="B23" s="175" t="s">
        <v>363</v>
      </c>
      <c r="C23" s="171">
        <f t="shared" ref="C23:C27" si="8">D22+1</f>
        <v>46266</v>
      </c>
      <c r="D23" s="171">
        <f t="shared" ref="D23:D80" si="9">C23+E23-1</f>
        <v>46269</v>
      </c>
      <c r="E23" s="172">
        <v>4</v>
      </c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8"/>
      <c r="AN23" s="78"/>
      <c r="AO23" s="79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>
        <v>5</v>
      </c>
      <c r="BL23" s="77">
        <v>5</v>
      </c>
      <c r="BM23" s="77">
        <v>5</v>
      </c>
      <c r="BN23" s="77">
        <v>5</v>
      </c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  <c r="EM23" s="77"/>
      <c r="EN23" s="77"/>
      <c r="EO23" s="77"/>
      <c r="EP23" s="77"/>
      <c r="EQ23" s="77"/>
      <c r="ER23" s="77"/>
      <c r="ES23" s="77"/>
      <c r="ET23" s="77"/>
      <c r="EU23" s="77"/>
      <c r="EV23" s="77"/>
      <c r="EW23" s="77"/>
      <c r="EX23" s="77"/>
      <c r="EY23" s="77"/>
      <c r="EZ23" s="77"/>
      <c r="FA23" s="77"/>
      <c r="FB23" s="77"/>
      <c r="FC23" s="77"/>
      <c r="FD23" s="77"/>
      <c r="FE23" s="77"/>
      <c r="FF23" s="77"/>
      <c r="FG23" s="77"/>
      <c r="FH23" s="77"/>
      <c r="FI23" s="77"/>
      <c r="FJ23" s="77"/>
      <c r="FK23" s="77"/>
      <c r="FL23" s="77"/>
      <c r="FM23" s="77"/>
      <c r="FN23" s="77"/>
      <c r="FO23" s="77"/>
      <c r="FP23" s="77"/>
      <c r="FQ23" s="77"/>
      <c r="FR23" s="77"/>
      <c r="FS23" s="77"/>
      <c r="FT23" s="77"/>
      <c r="FU23" s="77"/>
      <c r="FV23" s="77"/>
      <c r="FW23" s="77"/>
      <c r="FX23" s="77"/>
      <c r="FY23" s="77"/>
      <c r="FZ23" s="77"/>
      <c r="GA23" s="77"/>
      <c r="GB23" s="77"/>
    </row>
    <row r="24" spans="1:184" ht="15.55" customHeight="1" outlineLevel="2">
      <c r="A24" s="173"/>
      <c r="B24" s="175" t="s">
        <v>364</v>
      </c>
      <c r="C24" s="171">
        <f t="shared" si="8"/>
        <v>46270</v>
      </c>
      <c r="D24" s="171">
        <f t="shared" si="9"/>
        <v>46277</v>
      </c>
      <c r="E24" s="172">
        <v>8</v>
      </c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8"/>
      <c r="AN24" s="78"/>
      <c r="AO24" s="79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>
        <v>5</v>
      </c>
      <c r="BP24" s="77">
        <v>5</v>
      </c>
      <c r="BQ24" s="77">
        <v>5</v>
      </c>
      <c r="BR24" s="77">
        <v>5</v>
      </c>
      <c r="BS24" s="77">
        <v>5</v>
      </c>
      <c r="BT24" s="77">
        <v>5</v>
      </c>
      <c r="BU24" s="77">
        <v>5</v>
      </c>
      <c r="BV24" s="77">
        <v>5</v>
      </c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  <c r="FU24" s="77"/>
      <c r="FV24" s="77"/>
      <c r="FW24" s="77"/>
      <c r="FX24" s="77"/>
      <c r="FY24" s="77"/>
      <c r="FZ24" s="77"/>
      <c r="GA24" s="77"/>
      <c r="GB24" s="77"/>
    </row>
    <row r="25" spans="1:184" ht="15.55" customHeight="1" outlineLevel="2">
      <c r="A25" s="173"/>
      <c r="B25" s="175" t="s">
        <v>365</v>
      </c>
      <c r="C25" s="171">
        <f t="shared" si="8"/>
        <v>46278</v>
      </c>
      <c r="D25" s="171">
        <f t="shared" si="9"/>
        <v>46281</v>
      </c>
      <c r="E25" s="176">
        <v>4</v>
      </c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8"/>
      <c r="AN25" s="78"/>
      <c r="AO25" s="79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>
        <v>5</v>
      </c>
      <c r="BX25" s="77">
        <v>5</v>
      </c>
      <c r="BY25" s="77">
        <v>5</v>
      </c>
      <c r="BZ25" s="77">
        <v>5</v>
      </c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  <c r="FU25" s="77"/>
      <c r="FV25" s="77"/>
      <c r="FW25" s="77"/>
      <c r="FX25" s="77"/>
      <c r="FY25" s="77"/>
      <c r="FZ25" s="77"/>
      <c r="GA25" s="77"/>
      <c r="GB25" s="77"/>
    </row>
    <row r="26" spans="1:184" ht="15.55" customHeight="1" outlineLevel="2">
      <c r="A26" s="174"/>
      <c r="B26" s="177" t="s">
        <v>366</v>
      </c>
      <c r="C26" s="171">
        <f t="shared" si="8"/>
        <v>46282</v>
      </c>
      <c r="D26" s="171">
        <f t="shared" si="9"/>
        <v>46283</v>
      </c>
      <c r="E26" s="176">
        <v>2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8"/>
      <c r="AN26" s="78"/>
      <c r="AO26" s="79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>
        <v>5</v>
      </c>
      <c r="CB26" s="77">
        <v>5</v>
      </c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  <c r="EM26" s="77"/>
      <c r="EN26" s="77"/>
      <c r="EO26" s="77"/>
      <c r="EP26" s="77"/>
      <c r="EQ26" s="77"/>
      <c r="ER26" s="77"/>
      <c r="ES26" s="77"/>
      <c r="ET26" s="77"/>
      <c r="EU26" s="77"/>
      <c r="EV26" s="77"/>
      <c r="EW26" s="77"/>
      <c r="EX26" s="77"/>
      <c r="EY26" s="77"/>
      <c r="EZ26" s="77"/>
      <c r="FA26" s="77"/>
      <c r="FB26" s="77"/>
      <c r="FC26" s="77"/>
      <c r="FD26" s="77"/>
      <c r="FE26" s="77"/>
      <c r="FF26" s="77"/>
      <c r="FG26" s="77"/>
      <c r="FH26" s="77"/>
      <c r="FI26" s="77"/>
      <c r="FJ26" s="77"/>
      <c r="FK26" s="77"/>
      <c r="FL26" s="77"/>
      <c r="FM26" s="77"/>
      <c r="FN26" s="77"/>
      <c r="FO26" s="77"/>
      <c r="FP26" s="77"/>
      <c r="FQ26" s="77"/>
      <c r="FR26" s="77"/>
      <c r="FS26" s="77"/>
      <c r="FT26" s="77"/>
      <c r="FU26" s="77"/>
      <c r="FV26" s="77"/>
      <c r="FW26" s="77"/>
      <c r="FX26" s="77"/>
      <c r="FY26" s="77"/>
      <c r="FZ26" s="77"/>
      <c r="GA26" s="77"/>
      <c r="GB26" s="77"/>
    </row>
    <row r="27" spans="1:184" ht="15.55" customHeight="1" outlineLevel="2">
      <c r="A27" s="169" t="s">
        <v>367</v>
      </c>
      <c r="B27" s="177" t="s">
        <v>368</v>
      </c>
      <c r="C27" s="171">
        <f t="shared" si="8"/>
        <v>46284</v>
      </c>
      <c r="D27" s="171">
        <f t="shared" si="9"/>
        <v>46285</v>
      </c>
      <c r="E27" s="176">
        <v>2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8"/>
      <c r="AN27" s="78"/>
      <c r="AO27" s="79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>
        <v>5</v>
      </c>
      <c r="CD27" s="77">
        <v>5</v>
      </c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7"/>
      <c r="DY27" s="77"/>
      <c r="DZ27" s="77"/>
      <c r="EA27" s="77"/>
      <c r="EB27" s="77"/>
      <c r="EC27" s="77"/>
      <c r="ED27" s="77"/>
      <c r="EE27" s="77"/>
      <c r="EF27" s="77"/>
      <c r="EG27" s="77"/>
      <c r="EH27" s="77"/>
      <c r="EI27" s="77"/>
      <c r="EJ27" s="77"/>
      <c r="EK27" s="77"/>
      <c r="EL27" s="77"/>
      <c r="EM27" s="77"/>
      <c r="EN27" s="77"/>
      <c r="EO27" s="77"/>
      <c r="EP27" s="77"/>
      <c r="EQ27" s="77"/>
      <c r="ER27" s="77"/>
      <c r="ES27" s="77"/>
      <c r="ET27" s="77"/>
      <c r="EU27" s="77"/>
      <c r="EV27" s="77"/>
      <c r="EW27" s="77"/>
      <c r="EX27" s="77"/>
      <c r="EY27" s="77"/>
      <c r="EZ27" s="77"/>
      <c r="FA27" s="77"/>
      <c r="FB27" s="77"/>
      <c r="FC27" s="77"/>
      <c r="FD27" s="77"/>
      <c r="FE27" s="77"/>
      <c r="FF27" s="77"/>
      <c r="FG27" s="77"/>
      <c r="FH27" s="77"/>
      <c r="FI27" s="77"/>
      <c r="FJ27" s="77"/>
      <c r="FK27" s="77"/>
      <c r="FL27" s="77"/>
      <c r="FM27" s="77"/>
      <c r="FN27" s="77"/>
      <c r="FO27" s="77"/>
      <c r="FP27" s="77"/>
      <c r="FQ27" s="77"/>
      <c r="FR27" s="77"/>
      <c r="FS27" s="77"/>
      <c r="FT27" s="77"/>
      <c r="FU27" s="77"/>
      <c r="FV27" s="77"/>
      <c r="FW27" s="77"/>
      <c r="FX27" s="77"/>
      <c r="FY27" s="77"/>
      <c r="FZ27" s="77"/>
      <c r="GA27" s="77"/>
      <c r="GB27" s="77"/>
    </row>
    <row r="28" spans="1:184" ht="15.55" customHeight="1" outlineLevel="2">
      <c r="A28" s="173"/>
      <c r="B28" s="177" t="s">
        <v>369</v>
      </c>
      <c r="C28" s="171">
        <f>D27+1</f>
        <v>46286</v>
      </c>
      <c r="D28" s="171">
        <f t="shared" si="9"/>
        <v>46287</v>
      </c>
      <c r="E28" s="176">
        <v>2</v>
      </c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8"/>
      <c r="AN28" s="78"/>
      <c r="AO28" s="79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>
        <v>5</v>
      </c>
      <c r="CF28" s="77">
        <v>5</v>
      </c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  <c r="DY28" s="77"/>
      <c r="DZ28" s="77"/>
      <c r="EA28" s="77"/>
      <c r="EB28" s="77"/>
      <c r="EC28" s="77"/>
      <c r="ED28" s="77"/>
      <c r="EE28" s="77"/>
      <c r="EF28" s="77"/>
      <c r="EG28" s="77"/>
      <c r="EH28" s="77"/>
      <c r="EI28" s="77"/>
      <c r="EJ28" s="77"/>
      <c r="EK28" s="77"/>
      <c r="EL28" s="77"/>
      <c r="EM28" s="77"/>
      <c r="EN28" s="77"/>
      <c r="EO28" s="77"/>
      <c r="EP28" s="77"/>
      <c r="EQ28" s="77"/>
      <c r="ER28" s="77"/>
      <c r="ES28" s="77"/>
      <c r="ET28" s="77"/>
      <c r="EU28" s="77"/>
      <c r="EV28" s="77"/>
      <c r="EW28" s="77"/>
      <c r="EX28" s="77"/>
      <c r="EY28" s="77"/>
      <c r="EZ28" s="77"/>
      <c r="FA28" s="77"/>
      <c r="FB28" s="77"/>
      <c r="FC28" s="77"/>
      <c r="FD28" s="77"/>
      <c r="FE28" s="77"/>
      <c r="FF28" s="77"/>
      <c r="FG28" s="77"/>
      <c r="FH28" s="77"/>
      <c r="FI28" s="77"/>
      <c r="FJ28" s="77"/>
      <c r="FK28" s="77"/>
      <c r="FL28" s="77"/>
      <c r="FM28" s="77"/>
      <c r="FN28" s="77"/>
      <c r="FO28" s="77"/>
      <c r="FP28" s="77"/>
      <c r="FQ28" s="77"/>
      <c r="FR28" s="77"/>
      <c r="FS28" s="77"/>
      <c r="FT28" s="77"/>
      <c r="FU28" s="77"/>
      <c r="FV28" s="77"/>
      <c r="FW28" s="77"/>
      <c r="FX28" s="77"/>
      <c r="FY28" s="77"/>
      <c r="FZ28" s="77"/>
      <c r="GA28" s="77"/>
      <c r="GB28" s="77"/>
    </row>
    <row r="29" spans="1:184" ht="15.55" customHeight="1" outlineLevel="2">
      <c r="A29" s="174"/>
      <c r="B29" s="177" t="s">
        <v>370</v>
      </c>
      <c r="C29" s="171">
        <f>D28+1</f>
        <v>46288</v>
      </c>
      <c r="D29" s="171">
        <f>C29+E29-1</f>
        <v>46289</v>
      </c>
      <c r="E29" s="176">
        <v>2</v>
      </c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8"/>
      <c r="AN29" s="78"/>
      <c r="AO29" s="79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>
        <v>5</v>
      </c>
      <c r="CH29" s="77">
        <v>5</v>
      </c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  <c r="FU29" s="77"/>
      <c r="FV29" s="77"/>
      <c r="FW29" s="77"/>
      <c r="FX29" s="77"/>
      <c r="FY29" s="77"/>
      <c r="FZ29" s="77"/>
      <c r="GA29" s="77"/>
      <c r="GB29" s="77"/>
    </row>
    <row r="30" spans="1:184" ht="15.55" customHeight="1" outlineLevel="2">
      <c r="A30" s="178" t="s">
        <v>371</v>
      </c>
      <c r="B30" s="177" t="s">
        <v>372</v>
      </c>
      <c r="C30" s="171">
        <f>D29+1</f>
        <v>46290</v>
      </c>
      <c r="D30" s="171">
        <f>C30+E30-1</f>
        <v>46291</v>
      </c>
      <c r="E30" s="176">
        <v>2</v>
      </c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8"/>
      <c r="AN30" s="78"/>
      <c r="AO30" s="79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>
        <v>5</v>
      </c>
      <c r="CJ30" s="77">
        <v>5</v>
      </c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77"/>
      <c r="FB30" s="77"/>
      <c r="FC30" s="77"/>
      <c r="FD30" s="77"/>
      <c r="FE30" s="77"/>
      <c r="FF30" s="77"/>
      <c r="FG30" s="77"/>
      <c r="FH30" s="77"/>
      <c r="FI30" s="77"/>
      <c r="FJ30" s="77"/>
      <c r="FK30" s="77"/>
      <c r="FL30" s="77"/>
      <c r="FM30" s="77"/>
      <c r="FN30" s="77"/>
      <c r="FO30" s="77"/>
      <c r="FP30" s="77"/>
      <c r="FQ30" s="77"/>
      <c r="FR30" s="77"/>
      <c r="FS30" s="77"/>
      <c r="FT30" s="77"/>
      <c r="FU30" s="77"/>
      <c r="FV30" s="77"/>
      <c r="FW30" s="77"/>
      <c r="FX30" s="77"/>
      <c r="FY30" s="77"/>
      <c r="FZ30" s="77"/>
      <c r="GA30" s="77"/>
      <c r="GB30" s="77"/>
    </row>
    <row r="31" spans="1:184" ht="15.55" customHeight="1" outlineLevel="2">
      <c r="A31" s="173"/>
      <c r="B31" s="177" t="s">
        <v>373</v>
      </c>
      <c r="C31" s="171">
        <f>D30+1</f>
        <v>46292</v>
      </c>
      <c r="D31" s="171">
        <f>C31+E31-1</f>
        <v>46293</v>
      </c>
      <c r="E31" s="176">
        <v>2</v>
      </c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8"/>
      <c r="AN31" s="78"/>
      <c r="AO31" s="79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>
        <v>5</v>
      </c>
      <c r="CL31" s="77">
        <v>5</v>
      </c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  <c r="FU31" s="77"/>
      <c r="FV31" s="77"/>
      <c r="FW31" s="77"/>
      <c r="FX31" s="77"/>
      <c r="FY31" s="77"/>
      <c r="FZ31" s="77"/>
      <c r="GA31" s="77"/>
      <c r="GB31" s="77"/>
    </row>
    <row r="32" spans="1:184" ht="15.55" customHeight="1" outlineLevel="2">
      <c r="A32" s="173"/>
      <c r="B32" s="177" t="s">
        <v>374</v>
      </c>
      <c r="C32" s="171">
        <f>D31+1</f>
        <v>46294</v>
      </c>
      <c r="D32" s="171">
        <f t="shared" si="9"/>
        <v>46295</v>
      </c>
      <c r="E32" s="176">
        <v>2</v>
      </c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8"/>
      <c r="AN32" s="78"/>
      <c r="AO32" s="79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>
        <v>5</v>
      </c>
      <c r="CN32" s="77">
        <v>5</v>
      </c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  <c r="DY32" s="77"/>
      <c r="DZ32" s="77"/>
      <c r="EA32" s="77"/>
      <c r="EB32" s="77"/>
      <c r="EC32" s="77"/>
      <c r="ED32" s="77"/>
      <c r="EE32" s="77"/>
      <c r="EF32" s="77"/>
      <c r="EG32" s="77"/>
      <c r="EH32" s="77"/>
      <c r="EI32" s="77"/>
      <c r="EJ32" s="77"/>
      <c r="EK32" s="77"/>
      <c r="EL32" s="77"/>
      <c r="EM32" s="77"/>
      <c r="EN32" s="77"/>
      <c r="EO32" s="77"/>
      <c r="EP32" s="77"/>
      <c r="EQ32" s="77"/>
      <c r="ER32" s="77"/>
      <c r="ES32" s="77"/>
      <c r="ET32" s="77"/>
      <c r="EU32" s="77"/>
      <c r="EV32" s="77"/>
      <c r="EW32" s="77"/>
      <c r="EX32" s="77"/>
      <c r="EY32" s="77"/>
      <c r="EZ32" s="77"/>
      <c r="FA32" s="77"/>
      <c r="FB32" s="77"/>
      <c r="FC32" s="77"/>
      <c r="FD32" s="77"/>
      <c r="FE32" s="77"/>
      <c r="FF32" s="77"/>
      <c r="FG32" s="77"/>
      <c r="FH32" s="77"/>
      <c r="FI32" s="77"/>
      <c r="FJ32" s="77"/>
      <c r="FK32" s="77"/>
      <c r="FL32" s="77"/>
      <c r="FM32" s="77"/>
      <c r="FN32" s="77"/>
      <c r="FO32" s="77"/>
      <c r="FP32" s="77"/>
      <c r="FQ32" s="77"/>
      <c r="FR32" s="77"/>
      <c r="FS32" s="77"/>
      <c r="FT32" s="77"/>
      <c r="FU32" s="77"/>
      <c r="FV32" s="77"/>
      <c r="FW32" s="77"/>
      <c r="FX32" s="77"/>
      <c r="FY32" s="77"/>
      <c r="FZ32" s="77"/>
      <c r="GA32" s="77"/>
      <c r="GB32" s="77"/>
    </row>
    <row r="33" spans="1:184" ht="15.55" customHeight="1" outlineLevel="2">
      <c r="A33" s="173"/>
      <c r="B33" s="177" t="s">
        <v>375</v>
      </c>
      <c r="C33" s="171">
        <f t="shared" ref="C33:C38" si="10">D32+1</f>
        <v>46296</v>
      </c>
      <c r="D33" s="171">
        <f t="shared" si="9"/>
        <v>46297</v>
      </c>
      <c r="E33" s="176">
        <v>2</v>
      </c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8"/>
      <c r="AN33" s="78"/>
      <c r="AO33" s="79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>
        <v>5</v>
      </c>
      <c r="CP33" s="77">
        <v>5</v>
      </c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  <c r="EU33" s="77"/>
      <c r="EV33" s="77"/>
      <c r="EW33" s="77"/>
      <c r="EX33" s="77"/>
      <c r="EY33" s="77"/>
      <c r="EZ33" s="77"/>
      <c r="FA33" s="77"/>
      <c r="FB33" s="77"/>
      <c r="FC33" s="77"/>
      <c r="FD33" s="77"/>
      <c r="FE33" s="77"/>
      <c r="FF33" s="77"/>
      <c r="FG33" s="77"/>
      <c r="FH33" s="77"/>
      <c r="FI33" s="77"/>
      <c r="FJ33" s="77"/>
      <c r="FK33" s="77"/>
      <c r="FL33" s="77"/>
      <c r="FM33" s="77"/>
      <c r="FN33" s="77"/>
      <c r="FO33" s="77"/>
      <c r="FP33" s="77"/>
      <c r="FQ33" s="77"/>
      <c r="FR33" s="77"/>
      <c r="FS33" s="77"/>
      <c r="FT33" s="77"/>
      <c r="FU33" s="77"/>
      <c r="FV33" s="77"/>
      <c r="FW33" s="77"/>
      <c r="FX33" s="77"/>
      <c r="FY33" s="77"/>
      <c r="FZ33" s="77"/>
      <c r="GA33" s="77"/>
      <c r="GB33" s="77"/>
    </row>
    <row r="34" spans="1:184" ht="15.55" customHeight="1" outlineLevel="2">
      <c r="A34" s="174"/>
      <c r="B34" s="177" t="s">
        <v>376</v>
      </c>
      <c r="C34" s="171">
        <f t="shared" si="10"/>
        <v>46298</v>
      </c>
      <c r="D34" s="171">
        <f t="shared" si="9"/>
        <v>46299</v>
      </c>
      <c r="E34" s="176">
        <v>2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8"/>
      <c r="AN34" s="78"/>
      <c r="AO34" s="79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>
        <v>5</v>
      </c>
      <c r="CR34" s="77">
        <v>5</v>
      </c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  <c r="DX34" s="77"/>
      <c r="DY34" s="77"/>
      <c r="DZ34" s="77"/>
      <c r="EA34" s="77"/>
      <c r="EB34" s="77"/>
      <c r="EC34" s="77"/>
      <c r="ED34" s="77"/>
      <c r="EE34" s="77"/>
      <c r="EF34" s="77"/>
      <c r="EG34" s="77"/>
      <c r="EH34" s="77"/>
      <c r="EI34" s="77"/>
      <c r="EJ34" s="77"/>
      <c r="EK34" s="77"/>
      <c r="EL34" s="77"/>
      <c r="EM34" s="77"/>
      <c r="EN34" s="77"/>
      <c r="EO34" s="77"/>
      <c r="EP34" s="77"/>
      <c r="EQ34" s="77"/>
      <c r="ER34" s="77"/>
      <c r="ES34" s="77"/>
      <c r="ET34" s="77"/>
      <c r="EU34" s="77"/>
      <c r="EV34" s="77"/>
      <c r="EW34" s="77"/>
      <c r="EX34" s="77"/>
      <c r="EY34" s="77"/>
      <c r="EZ34" s="77"/>
      <c r="FA34" s="77"/>
      <c r="FB34" s="77"/>
      <c r="FC34" s="77"/>
      <c r="FD34" s="77"/>
      <c r="FE34" s="77"/>
      <c r="FF34" s="77"/>
      <c r="FG34" s="77"/>
      <c r="FH34" s="77"/>
      <c r="FI34" s="77"/>
      <c r="FJ34" s="77"/>
      <c r="FK34" s="77"/>
      <c r="FL34" s="77"/>
      <c r="FM34" s="77"/>
      <c r="FN34" s="77"/>
      <c r="FO34" s="77"/>
      <c r="FP34" s="77"/>
      <c r="FQ34" s="77"/>
      <c r="FR34" s="77"/>
      <c r="FS34" s="77"/>
      <c r="FT34" s="77"/>
      <c r="FU34" s="77"/>
      <c r="FV34" s="77"/>
      <c r="FW34" s="77"/>
      <c r="FX34" s="77"/>
      <c r="FY34" s="77"/>
      <c r="FZ34" s="77"/>
      <c r="GA34" s="77"/>
      <c r="GB34" s="77"/>
    </row>
    <row r="35" spans="1:184" ht="15.55" customHeight="1" outlineLevel="2">
      <c r="A35" s="169" t="s">
        <v>377</v>
      </c>
      <c r="B35" s="177" t="s">
        <v>378</v>
      </c>
      <c r="C35" s="171">
        <f>C22</f>
        <v>46264</v>
      </c>
      <c r="D35" s="171">
        <f t="shared" si="9"/>
        <v>46265</v>
      </c>
      <c r="E35" s="176">
        <v>2</v>
      </c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8"/>
      <c r="AN35" s="78"/>
      <c r="AO35" s="79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>
        <v>2</v>
      </c>
      <c r="BJ35" s="77">
        <v>2</v>
      </c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77"/>
      <c r="FC35" s="77"/>
      <c r="FD35" s="77"/>
      <c r="FE35" s="77"/>
      <c r="FF35" s="77"/>
      <c r="FG35" s="77"/>
      <c r="FH35" s="77"/>
      <c r="FI35" s="77"/>
      <c r="FJ35" s="77"/>
      <c r="FK35" s="77"/>
      <c r="FL35" s="77"/>
      <c r="FM35" s="77"/>
      <c r="FN35" s="77"/>
      <c r="FO35" s="77"/>
      <c r="FP35" s="77"/>
      <c r="FQ35" s="77"/>
      <c r="FR35" s="77"/>
      <c r="FS35" s="77"/>
      <c r="FT35" s="77"/>
      <c r="FU35" s="77"/>
      <c r="FV35" s="77"/>
      <c r="FW35" s="77"/>
      <c r="FX35" s="77"/>
      <c r="FY35" s="77"/>
      <c r="FZ35" s="77"/>
      <c r="GA35" s="77"/>
      <c r="GB35" s="77"/>
    </row>
    <row r="36" spans="1:184" ht="15.55" customHeight="1" outlineLevel="2">
      <c r="A36" s="173"/>
      <c r="B36" s="177" t="s">
        <v>379</v>
      </c>
      <c r="C36" s="171">
        <f>C23+7</f>
        <v>46273</v>
      </c>
      <c r="D36" s="171">
        <f t="shared" si="9"/>
        <v>46275</v>
      </c>
      <c r="E36" s="176">
        <v>3</v>
      </c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8"/>
      <c r="AN36" s="78"/>
      <c r="AO36" s="79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>
        <v>4</v>
      </c>
      <c r="BS36" s="77">
        <v>3</v>
      </c>
      <c r="BT36" s="77">
        <v>3</v>
      </c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  <c r="DX36" s="77"/>
      <c r="DY36" s="77"/>
      <c r="DZ36" s="77"/>
      <c r="EA36" s="77"/>
      <c r="EB36" s="77"/>
      <c r="EC36" s="77"/>
      <c r="ED36" s="77"/>
      <c r="EE36" s="77"/>
      <c r="EF36" s="77"/>
      <c r="EG36" s="77"/>
      <c r="EH36" s="77"/>
      <c r="EI36" s="77"/>
      <c r="EJ36" s="77"/>
      <c r="EK36" s="77"/>
      <c r="EL36" s="77"/>
      <c r="EM36" s="77"/>
      <c r="EN36" s="77"/>
      <c r="EO36" s="77"/>
      <c r="EP36" s="77"/>
      <c r="EQ36" s="77"/>
      <c r="ER36" s="77"/>
      <c r="ES36" s="77"/>
      <c r="ET36" s="77"/>
      <c r="EU36" s="77"/>
      <c r="EV36" s="77"/>
      <c r="EW36" s="77"/>
      <c r="EX36" s="77"/>
      <c r="EY36" s="77"/>
      <c r="EZ36" s="77"/>
      <c r="FA36" s="77"/>
      <c r="FB36" s="77"/>
      <c r="FC36" s="77"/>
      <c r="FD36" s="77"/>
      <c r="FE36" s="77"/>
      <c r="FF36" s="77"/>
      <c r="FG36" s="77"/>
      <c r="FH36" s="77"/>
      <c r="FI36" s="77"/>
      <c r="FJ36" s="77"/>
      <c r="FK36" s="77"/>
      <c r="FL36" s="77"/>
      <c r="FM36" s="77"/>
      <c r="FN36" s="77"/>
      <c r="FO36" s="77"/>
      <c r="FP36" s="77"/>
      <c r="FQ36" s="77"/>
      <c r="FR36" s="77"/>
      <c r="FS36" s="77"/>
      <c r="FT36" s="77"/>
      <c r="FU36" s="77"/>
      <c r="FV36" s="77"/>
      <c r="FW36" s="77"/>
      <c r="FX36" s="77"/>
      <c r="FY36" s="77"/>
      <c r="FZ36" s="77"/>
      <c r="GA36" s="77"/>
      <c r="GB36" s="77"/>
    </row>
    <row r="37" spans="1:184" ht="15.55" customHeight="1" outlineLevel="2">
      <c r="A37" s="173"/>
      <c r="B37" s="177" t="s">
        <v>380</v>
      </c>
      <c r="C37" s="171">
        <f t="shared" si="10"/>
        <v>46276</v>
      </c>
      <c r="D37" s="171">
        <f t="shared" si="9"/>
        <v>46277</v>
      </c>
      <c r="E37" s="176">
        <v>2</v>
      </c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8"/>
      <c r="AN37" s="78"/>
      <c r="AO37" s="79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>
        <v>3</v>
      </c>
      <c r="BV37" s="77">
        <v>3</v>
      </c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77"/>
      <c r="DX37" s="77"/>
      <c r="DY37" s="77"/>
      <c r="DZ37" s="77"/>
      <c r="EA37" s="77"/>
      <c r="EB37" s="77"/>
      <c r="EC37" s="77"/>
      <c r="ED37" s="77"/>
      <c r="EE37" s="77"/>
      <c r="EF37" s="77"/>
      <c r="EG37" s="77"/>
      <c r="EH37" s="77"/>
      <c r="EI37" s="77"/>
      <c r="EJ37" s="77"/>
      <c r="EK37" s="77"/>
      <c r="EL37" s="77"/>
      <c r="EM37" s="77"/>
      <c r="EN37" s="77"/>
      <c r="EO37" s="77"/>
      <c r="EP37" s="77"/>
      <c r="EQ37" s="77"/>
      <c r="ER37" s="77"/>
      <c r="ES37" s="77"/>
      <c r="ET37" s="77"/>
      <c r="EU37" s="77"/>
      <c r="EV37" s="77"/>
      <c r="EW37" s="77"/>
      <c r="EX37" s="77"/>
      <c r="EY37" s="77"/>
      <c r="EZ37" s="77"/>
      <c r="FA37" s="77"/>
      <c r="FB37" s="77"/>
      <c r="FC37" s="77"/>
      <c r="FD37" s="77"/>
      <c r="FE37" s="77"/>
      <c r="FF37" s="77"/>
      <c r="FG37" s="77"/>
      <c r="FH37" s="77"/>
      <c r="FI37" s="77"/>
      <c r="FJ37" s="77"/>
      <c r="FK37" s="77"/>
      <c r="FL37" s="77"/>
      <c r="FM37" s="77"/>
      <c r="FN37" s="77"/>
      <c r="FO37" s="77"/>
      <c r="FP37" s="77"/>
      <c r="FQ37" s="77"/>
      <c r="FR37" s="77"/>
      <c r="FS37" s="77"/>
      <c r="FT37" s="77"/>
      <c r="FU37" s="77"/>
      <c r="FV37" s="77"/>
      <c r="FW37" s="77"/>
      <c r="FX37" s="77"/>
      <c r="FY37" s="77"/>
      <c r="FZ37" s="77"/>
      <c r="GA37" s="77"/>
      <c r="GB37" s="77"/>
    </row>
    <row r="38" spans="1:184" ht="15.55" customHeight="1" outlineLevel="2">
      <c r="A38" s="173"/>
      <c r="B38" s="177" t="s">
        <v>381</v>
      </c>
      <c r="C38" s="171">
        <f t="shared" si="10"/>
        <v>46278</v>
      </c>
      <c r="D38" s="171">
        <f t="shared" si="9"/>
        <v>46280</v>
      </c>
      <c r="E38" s="176">
        <v>3</v>
      </c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8"/>
      <c r="AN38" s="78"/>
      <c r="AO38" s="79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>
        <v>3</v>
      </c>
      <c r="BX38" s="77">
        <v>3</v>
      </c>
      <c r="BY38" s="77">
        <v>3</v>
      </c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  <c r="DY38" s="77"/>
      <c r="DZ38" s="77"/>
      <c r="EA38" s="77"/>
      <c r="EB38" s="77"/>
      <c r="EC38" s="77"/>
      <c r="ED38" s="77"/>
      <c r="EE38" s="77"/>
      <c r="EF38" s="77"/>
      <c r="EG38" s="77"/>
      <c r="EH38" s="77"/>
      <c r="EI38" s="77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77"/>
      <c r="FB38" s="77"/>
      <c r="FC38" s="77"/>
      <c r="FD38" s="77"/>
      <c r="FE38" s="77"/>
      <c r="FF38" s="77"/>
      <c r="FG38" s="77"/>
      <c r="FH38" s="77"/>
      <c r="FI38" s="77"/>
      <c r="FJ38" s="77"/>
      <c r="FK38" s="77"/>
      <c r="FL38" s="77"/>
      <c r="FM38" s="77"/>
      <c r="FN38" s="77"/>
      <c r="FO38" s="77"/>
      <c r="FP38" s="77"/>
      <c r="FQ38" s="77"/>
      <c r="FR38" s="77"/>
      <c r="FS38" s="77"/>
      <c r="FT38" s="77"/>
      <c r="FU38" s="77"/>
      <c r="FV38" s="77"/>
      <c r="FW38" s="77"/>
      <c r="FX38" s="77"/>
      <c r="FY38" s="77"/>
      <c r="FZ38" s="77"/>
      <c r="GA38" s="77"/>
      <c r="GB38" s="77"/>
    </row>
    <row r="39" spans="1:184" ht="15.55" customHeight="1" outlineLevel="2">
      <c r="A39" s="173"/>
      <c r="B39" s="177" t="s">
        <v>382</v>
      </c>
      <c r="C39" s="171">
        <f>C71+1</f>
        <v>46274</v>
      </c>
      <c r="D39" s="171">
        <f t="shared" si="9"/>
        <v>46278</v>
      </c>
      <c r="E39" s="176">
        <v>5</v>
      </c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8"/>
      <c r="AN39" s="78"/>
      <c r="AO39" s="79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>
        <v>3</v>
      </c>
      <c r="BT39" s="77">
        <v>3</v>
      </c>
      <c r="BU39" s="77">
        <v>3</v>
      </c>
      <c r="BV39" s="77">
        <v>3</v>
      </c>
      <c r="BW39" s="77">
        <v>3</v>
      </c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77"/>
      <c r="DX39" s="77"/>
      <c r="DY39" s="77"/>
      <c r="DZ39" s="77"/>
      <c r="EA39" s="77"/>
      <c r="EB39" s="77"/>
      <c r="EC39" s="77"/>
      <c r="ED39" s="77"/>
      <c r="EE39" s="77"/>
      <c r="EF39" s="77"/>
      <c r="EG39" s="77"/>
      <c r="EH39" s="77"/>
      <c r="EI39" s="77"/>
      <c r="EJ39" s="77"/>
      <c r="EK39" s="77"/>
      <c r="EL39" s="77"/>
      <c r="EM39" s="77"/>
      <c r="EN39" s="77"/>
      <c r="EO39" s="77"/>
      <c r="EP39" s="77"/>
      <c r="EQ39" s="77"/>
      <c r="ER39" s="77"/>
      <c r="ES39" s="77"/>
      <c r="ET39" s="77"/>
      <c r="EU39" s="77"/>
      <c r="EV39" s="77"/>
      <c r="EW39" s="77"/>
      <c r="EX39" s="77"/>
      <c r="EY39" s="77"/>
      <c r="EZ39" s="77"/>
      <c r="FA39" s="77"/>
      <c r="FB39" s="77"/>
      <c r="FC39" s="77"/>
      <c r="FD39" s="77"/>
      <c r="FE39" s="77"/>
      <c r="FF39" s="77"/>
      <c r="FG39" s="77"/>
      <c r="FH39" s="77"/>
      <c r="FI39" s="77"/>
      <c r="FJ39" s="77"/>
      <c r="FK39" s="77"/>
      <c r="FL39" s="77"/>
      <c r="FM39" s="77"/>
      <c r="FN39" s="77"/>
      <c r="FO39" s="77"/>
      <c r="FP39" s="77"/>
      <c r="FQ39" s="77"/>
      <c r="FR39" s="77"/>
      <c r="FS39" s="77"/>
      <c r="FT39" s="77"/>
      <c r="FU39" s="77"/>
      <c r="FV39" s="77"/>
      <c r="FW39" s="77"/>
      <c r="FX39" s="77"/>
      <c r="FY39" s="77"/>
      <c r="FZ39" s="77"/>
      <c r="GA39" s="77"/>
      <c r="GB39" s="77"/>
    </row>
    <row r="40" spans="1:184" ht="15.55" customHeight="1" outlineLevel="2">
      <c r="A40" s="173"/>
      <c r="B40" s="177" t="s">
        <v>383</v>
      </c>
      <c r="C40" s="171">
        <f t="shared" ref="C40:C45" si="11">D39+1</f>
        <v>46279</v>
      </c>
      <c r="D40" s="171">
        <f t="shared" si="9"/>
        <v>46282</v>
      </c>
      <c r="E40" s="176">
        <v>4</v>
      </c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8"/>
      <c r="AN40" s="78"/>
      <c r="AO40" s="79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>
        <v>3</v>
      </c>
      <c r="BY40" s="77">
        <v>3</v>
      </c>
      <c r="BZ40" s="77">
        <v>6</v>
      </c>
      <c r="CA40" s="77">
        <v>6</v>
      </c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  <c r="DX40" s="77"/>
      <c r="DY40" s="77"/>
      <c r="DZ40" s="77"/>
      <c r="EA40" s="77"/>
      <c r="EB40" s="77"/>
      <c r="EC40" s="77"/>
      <c r="ED40" s="77"/>
      <c r="EE40" s="77"/>
      <c r="EF40" s="77"/>
      <c r="EG40" s="77"/>
      <c r="EH40" s="77"/>
      <c r="EI40" s="77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7"/>
      <c r="FA40" s="77"/>
      <c r="FB40" s="77"/>
      <c r="FC40" s="77"/>
      <c r="FD40" s="77"/>
      <c r="FE40" s="77"/>
      <c r="FF40" s="77"/>
      <c r="FG40" s="77"/>
      <c r="FH40" s="77"/>
      <c r="FI40" s="77"/>
      <c r="FJ40" s="77"/>
      <c r="FK40" s="77"/>
      <c r="FL40" s="77"/>
      <c r="FM40" s="77"/>
      <c r="FN40" s="77"/>
      <c r="FO40" s="77"/>
      <c r="FP40" s="77"/>
      <c r="FQ40" s="77"/>
      <c r="FR40" s="77"/>
      <c r="FS40" s="77"/>
      <c r="FT40" s="77"/>
      <c r="FU40" s="77"/>
      <c r="FV40" s="77"/>
      <c r="FW40" s="77"/>
      <c r="FX40" s="77"/>
      <c r="FY40" s="77"/>
      <c r="FZ40" s="77"/>
      <c r="GA40" s="77"/>
      <c r="GB40" s="77"/>
    </row>
    <row r="41" spans="1:184" ht="15.55" customHeight="1" outlineLevel="2">
      <c r="A41" s="173"/>
      <c r="B41" s="179" t="s">
        <v>384</v>
      </c>
      <c r="C41" s="171">
        <f t="shared" si="11"/>
        <v>46283</v>
      </c>
      <c r="D41" s="171">
        <f t="shared" si="9"/>
        <v>46287</v>
      </c>
      <c r="E41" s="176">
        <v>5</v>
      </c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8"/>
      <c r="AN41" s="78"/>
      <c r="AO41" s="79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>
        <v>3</v>
      </c>
      <c r="CC41" s="77">
        <v>3</v>
      </c>
      <c r="CD41" s="77">
        <v>3</v>
      </c>
      <c r="CE41" s="77">
        <v>3</v>
      </c>
      <c r="CF41" s="77">
        <v>3</v>
      </c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7"/>
      <c r="DZ41" s="77"/>
      <c r="EA41" s="77"/>
      <c r="EB41" s="77"/>
      <c r="EC41" s="77"/>
      <c r="ED41" s="77"/>
      <c r="EE41" s="77"/>
      <c r="EF41" s="77"/>
      <c r="EG41" s="77"/>
      <c r="EH41" s="77"/>
      <c r="EI41" s="77"/>
      <c r="EJ41" s="77"/>
      <c r="EK41" s="77"/>
      <c r="EL41" s="77"/>
      <c r="EM41" s="77"/>
      <c r="EN41" s="77"/>
      <c r="EO41" s="77"/>
      <c r="EP41" s="77"/>
      <c r="EQ41" s="77"/>
      <c r="ER41" s="77"/>
      <c r="ES41" s="77"/>
      <c r="ET41" s="77"/>
      <c r="EU41" s="77"/>
      <c r="EV41" s="77"/>
      <c r="EW41" s="77"/>
      <c r="EX41" s="77"/>
      <c r="EY41" s="77"/>
      <c r="EZ41" s="77"/>
      <c r="FA41" s="77"/>
      <c r="FB41" s="77"/>
      <c r="FC41" s="77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77"/>
      <c r="FO41" s="77"/>
      <c r="FP41" s="77"/>
      <c r="FQ41" s="77"/>
      <c r="FR41" s="77"/>
      <c r="FS41" s="77"/>
      <c r="FT41" s="77"/>
      <c r="FU41" s="77"/>
      <c r="FV41" s="77"/>
      <c r="FW41" s="77"/>
      <c r="FX41" s="77"/>
      <c r="FY41" s="77"/>
      <c r="FZ41" s="77"/>
      <c r="GA41" s="77"/>
      <c r="GB41" s="77"/>
    </row>
    <row r="42" spans="1:184" ht="15.55" customHeight="1" outlineLevel="2">
      <c r="A42" s="173"/>
      <c r="B42" s="177" t="s">
        <v>385</v>
      </c>
      <c r="C42" s="171">
        <f>D40+1</f>
        <v>46283</v>
      </c>
      <c r="D42" s="171">
        <f t="shared" si="9"/>
        <v>46284</v>
      </c>
      <c r="E42" s="176">
        <v>2</v>
      </c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8"/>
      <c r="AN42" s="78"/>
      <c r="AO42" s="79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>
        <v>3</v>
      </c>
      <c r="CC42" s="77">
        <v>3</v>
      </c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  <c r="DX42" s="77"/>
      <c r="DY42" s="77"/>
      <c r="DZ42" s="77"/>
      <c r="EA42" s="77"/>
      <c r="EB42" s="77"/>
      <c r="EC42" s="77"/>
      <c r="ED42" s="77"/>
      <c r="EE42" s="77"/>
      <c r="EF42" s="77"/>
      <c r="EG42" s="77"/>
      <c r="EH42" s="77"/>
      <c r="EI42" s="77"/>
      <c r="EJ42" s="77"/>
      <c r="EK42" s="77"/>
      <c r="EL42" s="77"/>
      <c r="EM42" s="77"/>
      <c r="EN42" s="77"/>
      <c r="EO42" s="77"/>
      <c r="EP42" s="77"/>
      <c r="EQ42" s="77"/>
      <c r="ER42" s="77"/>
      <c r="ES42" s="77"/>
      <c r="ET42" s="77"/>
      <c r="EU42" s="77"/>
      <c r="EV42" s="77"/>
      <c r="EW42" s="77"/>
      <c r="EX42" s="77"/>
      <c r="EY42" s="77"/>
      <c r="EZ42" s="77"/>
      <c r="FA42" s="77"/>
      <c r="FB42" s="77"/>
      <c r="FC42" s="77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77"/>
      <c r="FO42" s="77"/>
      <c r="FP42" s="77"/>
      <c r="FQ42" s="77"/>
      <c r="FR42" s="77"/>
      <c r="FS42" s="77"/>
      <c r="FT42" s="77"/>
      <c r="FU42" s="77"/>
      <c r="FV42" s="77"/>
      <c r="FW42" s="77"/>
      <c r="FX42" s="77"/>
      <c r="FY42" s="77"/>
      <c r="FZ42" s="77"/>
      <c r="GA42" s="77"/>
      <c r="GB42" s="77"/>
    </row>
    <row r="43" spans="1:184" ht="15.55" customHeight="1" outlineLevel="2">
      <c r="A43" s="173"/>
      <c r="B43" s="177" t="s">
        <v>386</v>
      </c>
      <c r="C43" s="171">
        <f>D41+1</f>
        <v>46288</v>
      </c>
      <c r="D43" s="171">
        <f t="shared" si="9"/>
        <v>46294</v>
      </c>
      <c r="E43" s="176">
        <v>7</v>
      </c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8"/>
      <c r="AN43" s="78"/>
      <c r="AO43" s="79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>
        <v>3</v>
      </c>
      <c r="CH43" s="77">
        <v>3</v>
      </c>
      <c r="CI43" s="77">
        <v>3</v>
      </c>
      <c r="CJ43" s="77">
        <v>3</v>
      </c>
      <c r="CK43" s="77">
        <v>3</v>
      </c>
      <c r="CL43" s="77">
        <v>3</v>
      </c>
      <c r="CM43" s="77">
        <v>3</v>
      </c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77"/>
      <c r="DX43" s="77"/>
      <c r="DY43" s="77"/>
      <c r="DZ43" s="77"/>
      <c r="EA43" s="77"/>
      <c r="EB43" s="77"/>
      <c r="EC43" s="77"/>
      <c r="ED43" s="77"/>
      <c r="EE43" s="77"/>
      <c r="EF43" s="77"/>
      <c r="EG43" s="77"/>
      <c r="EH43" s="77"/>
      <c r="EI43" s="77"/>
      <c r="EJ43" s="77"/>
      <c r="EK43" s="77"/>
      <c r="EL43" s="77"/>
      <c r="EM43" s="77"/>
      <c r="EN43" s="77"/>
      <c r="EO43" s="77"/>
      <c r="EP43" s="77"/>
      <c r="EQ43" s="77"/>
      <c r="ER43" s="77"/>
      <c r="ES43" s="77"/>
      <c r="ET43" s="77"/>
      <c r="EU43" s="77"/>
      <c r="EV43" s="77"/>
      <c r="EW43" s="77"/>
      <c r="EX43" s="77"/>
      <c r="EY43" s="77"/>
      <c r="EZ43" s="77"/>
      <c r="FA43" s="77"/>
      <c r="FB43" s="77"/>
      <c r="FC43" s="77"/>
      <c r="FD43" s="77"/>
      <c r="FE43" s="77"/>
      <c r="FF43" s="77"/>
      <c r="FG43" s="77"/>
      <c r="FH43" s="77"/>
      <c r="FI43" s="77"/>
      <c r="FJ43" s="77"/>
      <c r="FK43" s="77"/>
      <c r="FL43" s="77"/>
      <c r="FM43" s="77"/>
      <c r="FN43" s="77"/>
      <c r="FO43" s="77"/>
      <c r="FP43" s="77"/>
      <c r="FQ43" s="77"/>
      <c r="FR43" s="77"/>
      <c r="FS43" s="77"/>
      <c r="FT43" s="77"/>
      <c r="FU43" s="77"/>
      <c r="FV43" s="77"/>
      <c r="FW43" s="77"/>
      <c r="FX43" s="77"/>
      <c r="FY43" s="77"/>
      <c r="FZ43" s="77"/>
      <c r="GA43" s="77"/>
      <c r="GB43" s="77"/>
    </row>
    <row r="44" spans="1:184" ht="15.55" customHeight="1" outlineLevel="2">
      <c r="A44" s="173"/>
      <c r="B44" s="177" t="s">
        <v>387</v>
      </c>
      <c r="C44" s="171">
        <f>D41+1</f>
        <v>46288</v>
      </c>
      <c r="D44" s="171">
        <f t="shared" si="9"/>
        <v>46297</v>
      </c>
      <c r="E44" s="176">
        <v>10</v>
      </c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8"/>
      <c r="AN44" s="78"/>
      <c r="AO44" s="79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>
        <v>3</v>
      </c>
      <c r="CH44" s="77">
        <v>3</v>
      </c>
      <c r="CI44" s="77">
        <v>3</v>
      </c>
      <c r="CJ44" s="77">
        <v>3</v>
      </c>
      <c r="CK44" s="77">
        <v>3</v>
      </c>
      <c r="CL44" s="77">
        <v>3</v>
      </c>
      <c r="CM44" s="77">
        <v>3</v>
      </c>
      <c r="CN44" s="77">
        <v>3</v>
      </c>
      <c r="CO44" s="77">
        <v>3</v>
      </c>
      <c r="CP44" s="77">
        <v>3</v>
      </c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  <c r="FU44" s="77"/>
      <c r="FV44" s="77"/>
      <c r="FW44" s="77"/>
      <c r="FX44" s="77"/>
      <c r="FY44" s="77"/>
      <c r="FZ44" s="77"/>
      <c r="GA44" s="77"/>
      <c r="GB44" s="77"/>
    </row>
    <row r="45" spans="1:184" ht="15.55" customHeight="1" outlineLevel="2">
      <c r="A45" s="173"/>
      <c r="B45" s="177" t="s">
        <v>388</v>
      </c>
      <c r="C45" s="171">
        <f t="shared" si="11"/>
        <v>46298</v>
      </c>
      <c r="D45" s="171">
        <f t="shared" si="9"/>
        <v>46302</v>
      </c>
      <c r="E45" s="176">
        <v>5</v>
      </c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8"/>
      <c r="AN45" s="78"/>
      <c r="AO45" s="79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>
        <v>4</v>
      </c>
      <c r="CR45" s="77">
        <v>4</v>
      </c>
      <c r="CS45" s="77">
        <v>4</v>
      </c>
      <c r="CT45" s="77">
        <v>4</v>
      </c>
      <c r="CU45" s="77">
        <v>4</v>
      </c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77"/>
      <c r="DX45" s="77"/>
      <c r="DY45" s="77"/>
      <c r="DZ45" s="77"/>
      <c r="EA45" s="77"/>
      <c r="EB45" s="77"/>
      <c r="EC45" s="77"/>
      <c r="ED45" s="77"/>
      <c r="EE45" s="77"/>
      <c r="EF45" s="77"/>
      <c r="EG45" s="77"/>
      <c r="EH45" s="77"/>
      <c r="EI45" s="77"/>
      <c r="EJ45" s="77"/>
      <c r="EK45" s="77"/>
      <c r="EL45" s="77"/>
      <c r="EM45" s="77"/>
      <c r="EN45" s="77"/>
      <c r="EO45" s="77"/>
      <c r="EP45" s="77"/>
      <c r="EQ45" s="77"/>
      <c r="ER45" s="77"/>
      <c r="ES45" s="77"/>
      <c r="ET45" s="77"/>
      <c r="EU45" s="77"/>
      <c r="EV45" s="77"/>
      <c r="EW45" s="77"/>
      <c r="EX45" s="77"/>
      <c r="EY45" s="77"/>
      <c r="EZ45" s="77"/>
      <c r="FA45" s="77"/>
      <c r="FB45" s="77"/>
      <c r="FC45" s="77"/>
      <c r="FD45" s="77"/>
      <c r="FE45" s="77"/>
      <c r="FF45" s="77"/>
      <c r="FG45" s="77"/>
      <c r="FH45" s="77"/>
      <c r="FI45" s="77"/>
      <c r="FJ45" s="77"/>
      <c r="FK45" s="77"/>
      <c r="FL45" s="77"/>
      <c r="FM45" s="77"/>
      <c r="FN45" s="77"/>
      <c r="FO45" s="77"/>
      <c r="FP45" s="77"/>
      <c r="FQ45" s="77"/>
      <c r="FR45" s="77"/>
      <c r="FS45" s="77"/>
      <c r="FT45" s="77"/>
      <c r="FU45" s="77"/>
      <c r="FV45" s="77"/>
      <c r="FW45" s="77"/>
      <c r="FX45" s="77"/>
      <c r="FY45" s="77"/>
      <c r="FZ45" s="77"/>
      <c r="GA45" s="77"/>
      <c r="GB45" s="77"/>
    </row>
    <row r="46" spans="1:184" ht="15.55" customHeight="1" outlineLevel="2">
      <c r="A46" s="173"/>
      <c r="B46" s="177" t="s">
        <v>389</v>
      </c>
      <c r="C46" s="171">
        <f>C44</f>
        <v>46288</v>
      </c>
      <c r="D46" s="171">
        <f t="shared" si="9"/>
        <v>46302</v>
      </c>
      <c r="E46" s="176">
        <v>15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8"/>
      <c r="AN46" s="78"/>
      <c r="AO46" s="79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>
        <v>3</v>
      </c>
      <c r="CH46" s="77">
        <v>3</v>
      </c>
      <c r="CI46" s="77">
        <v>3</v>
      </c>
      <c r="CJ46" s="77">
        <v>3</v>
      </c>
      <c r="CK46" s="77">
        <v>3</v>
      </c>
      <c r="CL46" s="77">
        <v>3</v>
      </c>
      <c r="CM46" s="77">
        <v>3</v>
      </c>
      <c r="CN46" s="77">
        <v>3</v>
      </c>
      <c r="CO46" s="77">
        <v>3</v>
      </c>
      <c r="CP46" s="77">
        <v>3</v>
      </c>
      <c r="CQ46" s="77">
        <v>3</v>
      </c>
      <c r="CR46" s="77">
        <v>3</v>
      </c>
      <c r="CS46" s="77">
        <v>3</v>
      </c>
      <c r="CT46" s="77">
        <v>3</v>
      </c>
      <c r="CU46" s="77">
        <v>3</v>
      </c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7"/>
      <c r="GB46" s="77"/>
    </row>
    <row r="47" spans="1:184" ht="15.55" customHeight="1" outlineLevel="2">
      <c r="A47" s="173"/>
      <c r="B47" s="177" t="s">
        <v>390</v>
      </c>
      <c r="C47" s="171">
        <f>C46+7</f>
        <v>46295</v>
      </c>
      <c r="D47" s="171">
        <f t="shared" si="9"/>
        <v>46304</v>
      </c>
      <c r="E47" s="176">
        <v>10</v>
      </c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8"/>
      <c r="AN47" s="78"/>
      <c r="AO47" s="79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>
        <v>3</v>
      </c>
      <c r="CO47" s="77">
        <v>3</v>
      </c>
      <c r="CP47" s="77">
        <v>3</v>
      </c>
      <c r="CQ47" s="77">
        <v>3</v>
      </c>
      <c r="CR47" s="77">
        <v>2</v>
      </c>
      <c r="CS47" s="77">
        <v>2</v>
      </c>
      <c r="CT47" s="77">
        <v>2</v>
      </c>
      <c r="CU47" s="77">
        <v>2</v>
      </c>
      <c r="CV47" s="77">
        <v>3</v>
      </c>
      <c r="CW47" s="77">
        <v>3</v>
      </c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77"/>
      <c r="DX47" s="77"/>
      <c r="DY47" s="77"/>
      <c r="DZ47" s="77"/>
      <c r="EA47" s="77"/>
      <c r="EB47" s="77"/>
      <c r="EC47" s="77"/>
      <c r="ED47" s="77"/>
      <c r="EE47" s="77"/>
      <c r="EF47" s="77"/>
      <c r="EG47" s="77"/>
      <c r="EH47" s="77"/>
      <c r="EI47" s="77"/>
      <c r="EJ47" s="77"/>
      <c r="EK47" s="77"/>
      <c r="EL47" s="77"/>
      <c r="EM47" s="77"/>
      <c r="EN47" s="77"/>
      <c r="EO47" s="77"/>
      <c r="EP47" s="77"/>
      <c r="EQ47" s="77"/>
      <c r="ER47" s="77"/>
      <c r="ES47" s="77"/>
      <c r="ET47" s="77"/>
      <c r="EU47" s="77"/>
      <c r="EV47" s="77"/>
      <c r="EW47" s="77"/>
      <c r="EX47" s="77"/>
      <c r="EY47" s="77"/>
      <c r="EZ47" s="77"/>
      <c r="FA47" s="77"/>
      <c r="FB47" s="77"/>
      <c r="FC47" s="77"/>
      <c r="FD47" s="77"/>
      <c r="FE47" s="77"/>
      <c r="FF47" s="77"/>
      <c r="FG47" s="77"/>
      <c r="FH47" s="77"/>
      <c r="FI47" s="77"/>
      <c r="FJ47" s="77"/>
      <c r="FK47" s="77"/>
      <c r="FL47" s="77"/>
      <c r="FM47" s="77"/>
      <c r="FN47" s="77"/>
      <c r="FO47" s="77"/>
      <c r="FP47" s="77"/>
      <c r="FQ47" s="77"/>
      <c r="FR47" s="77"/>
      <c r="FS47" s="77"/>
      <c r="FT47" s="77"/>
      <c r="FU47" s="77"/>
      <c r="FV47" s="77"/>
      <c r="FW47" s="77"/>
      <c r="FX47" s="77"/>
      <c r="FY47" s="77"/>
      <c r="FZ47" s="77"/>
      <c r="GA47" s="77"/>
      <c r="GB47" s="77"/>
    </row>
    <row r="48" spans="1:184" ht="15.55" customHeight="1" outlineLevel="2">
      <c r="A48" s="173"/>
      <c r="B48" s="177" t="s">
        <v>391</v>
      </c>
      <c r="C48" s="171">
        <f t="shared" ref="C48:C52" si="12">D47+1</f>
        <v>46305</v>
      </c>
      <c r="D48" s="171">
        <f t="shared" si="9"/>
        <v>46307</v>
      </c>
      <c r="E48" s="176">
        <v>3</v>
      </c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8"/>
      <c r="AN48" s="78"/>
      <c r="AO48" s="79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>
        <v>3</v>
      </c>
      <c r="CY48" s="77">
        <v>3</v>
      </c>
      <c r="CZ48" s="77">
        <v>3</v>
      </c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  <c r="DX48" s="77"/>
      <c r="DY48" s="77"/>
      <c r="DZ48" s="77"/>
      <c r="EA48" s="77"/>
      <c r="EB48" s="77"/>
      <c r="EC48" s="77"/>
      <c r="ED48" s="77"/>
      <c r="EE48" s="77"/>
      <c r="EF48" s="77"/>
      <c r="EG48" s="77"/>
      <c r="EH48" s="77"/>
      <c r="EI48" s="77"/>
      <c r="EJ48" s="77"/>
      <c r="EK48" s="77"/>
      <c r="EL48" s="77"/>
      <c r="EM48" s="77"/>
      <c r="EN48" s="77"/>
      <c r="EO48" s="77"/>
      <c r="EP48" s="77"/>
      <c r="EQ48" s="77"/>
      <c r="ER48" s="77"/>
      <c r="ES48" s="77"/>
      <c r="ET48" s="77"/>
      <c r="EU48" s="77"/>
      <c r="EV48" s="77"/>
      <c r="EW48" s="77"/>
      <c r="EX48" s="77"/>
      <c r="EY48" s="77"/>
      <c r="EZ48" s="77"/>
      <c r="FA48" s="77"/>
      <c r="FB48" s="77"/>
      <c r="FC48" s="77"/>
      <c r="FD48" s="77"/>
      <c r="FE48" s="77"/>
      <c r="FF48" s="77"/>
      <c r="FG48" s="77"/>
      <c r="FH48" s="77"/>
      <c r="FI48" s="77"/>
      <c r="FJ48" s="77"/>
      <c r="FK48" s="77"/>
      <c r="FL48" s="77"/>
      <c r="FM48" s="77"/>
      <c r="FN48" s="77"/>
      <c r="FO48" s="77"/>
      <c r="FP48" s="77"/>
      <c r="FQ48" s="77"/>
      <c r="FR48" s="77"/>
      <c r="FS48" s="77"/>
      <c r="FT48" s="77"/>
      <c r="FU48" s="77"/>
      <c r="FV48" s="77"/>
      <c r="FW48" s="77"/>
      <c r="FX48" s="77"/>
      <c r="FY48" s="77"/>
      <c r="FZ48" s="77"/>
      <c r="GA48" s="77"/>
      <c r="GB48" s="77"/>
    </row>
    <row r="49" spans="1:184" ht="15.55" customHeight="1" outlineLevel="2">
      <c r="A49" s="174"/>
      <c r="B49" s="177" t="s">
        <v>392</v>
      </c>
      <c r="C49" s="171">
        <f t="shared" si="12"/>
        <v>46308</v>
      </c>
      <c r="D49" s="171">
        <f t="shared" si="9"/>
        <v>46314</v>
      </c>
      <c r="E49" s="176">
        <v>7</v>
      </c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8"/>
      <c r="AN49" s="78"/>
      <c r="AO49" s="79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  <c r="CX49" s="77"/>
      <c r="CY49" s="77"/>
      <c r="CZ49" s="77"/>
      <c r="DA49" s="77">
        <v>2</v>
      </c>
      <c r="DB49" s="77">
        <v>2</v>
      </c>
      <c r="DC49" s="77">
        <v>2</v>
      </c>
      <c r="DD49" s="77">
        <v>2</v>
      </c>
      <c r="DE49" s="77">
        <v>2</v>
      </c>
      <c r="DF49" s="77">
        <v>2</v>
      </c>
      <c r="DG49" s="77">
        <v>2</v>
      </c>
      <c r="DH49" s="77"/>
      <c r="DI49" s="77"/>
      <c r="DJ49" s="77"/>
      <c r="DK49" s="77"/>
      <c r="DL49" s="77"/>
      <c r="DM49" s="77"/>
      <c r="DN49" s="77"/>
      <c r="DO49" s="77"/>
      <c r="DP49" s="77"/>
      <c r="DQ49" s="77"/>
      <c r="DR49" s="77"/>
      <c r="DS49" s="77"/>
      <c r="DT49" s="77"/>
      <c r="DU49" s="77"/>
      <c r="DV49" s="77"/>
      <c r="DW49" s="77"/>
      <c r="DX49" s="77"/>
      <c r="DY49" s="77"/>
      <c r="DZ49" s="77"/>
      <c r="EA49" s="77"/>
      <c r="EB49" s="77"/>
      <c r="EC49" s="77"/>
      <c r="ED49" s="77"/>
      <c r="EE49" s="77"/>
      <c r="EF49" s="77"/>
      <c r="EG49" s="77"/>
      <c r="EH49" s="77"/>
      <c r="EI49" s="77"/>
      <c r="EJ49" s="77"/>
      <c r="EK49" s="77"/>
      <c r="EL49" s="77"/>
      <c r="EM49" s="77"/>
      <c r="EN49" s="77"/>
      <c r="EO49" s="77"/>
      <c r="EP49" s="77"/>
      <c r="EQ49" s="77"/>
      <c r="ER49" s="77"/>
      <c r="ES49" s="77"/>
      <c r="ET49" s="77"/>
      <c r="EU49" s="77"/>
      <c r="EV49" s="77"/>
      <c r="EW49" s="77"/>
      <c r="EX49" s="77"/>
      <c r="EY49" s="77"/>
      <c r="EZ49" s="77"/>
      <c r="FA49" s="77"/>
      <c r="FB49" s="77"/>
      <c r="FC49" s="77"/>
      <c r="FD49" s="77"/>
      <c r="FE49" s="77"/>
      <c r="FF49" s="77"/>
      <c r="FG49" s="77"/>
      <c r="FH49" s="77"/>
      <c r="FI49" s="77"/>
      <c r="FJ49" s="77"/>
      <c r="FK49" s="77"/>
      <c r="FL49" s="77"/>
      <c r="FM49" s="77"/>
      <c r="FN49" s="77"/>
      <c r="FO49" s="77"/>
      <c r="FP49" s="77"/>
      <c r="FQ49" s="77"/>
      <c r="FR49" s="77"/>
      <c r="FS49" s="77"/>
      <c r="FT49" s="77"/>
      <c r="FU49" s="77"/>
      <c r="FV49" s="77"/>
      <c r="FW49" s="77"/>
      <c r="FX49" s="77"/>
      <c r="FY49" s="77"/>
      <c r="FZ49" s="77"/>
      <c r="GA49" s="77"/>
      <c r="GB49" s="77"/>
    </row>
    <row r="50" spans="1:184" ht="15.55" customHeight="1" outlineLevel="2">
      <c r="A50" s="178" t="s">
        <v>393</v>
      </c>
      <c r="B50" s="177" t="s">
        <v>394</v>
      </c>
      <c r="C50" s="171">
        <f>D43+1</f>
        <v>46295</v>
      </c>
      <c r="D50" s="171">
        <f t="shared" si="9"/>
        <v>46296</v>
      </c>
      <c r="E50" s="176">
        <v>2</v>
      </c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8"/>
      <c r="AN50" s="78"/>
      <c r="AO50" s="79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>
        <v>3</v>
      </c>
      <c r="CO50" s="77">
        <v>3</v>
      </c>
      <c r="CP50" s="77"/>
      <c r="CQ50" s="77"/>
      <c r="CR50" s="77"/>
      <c r="CS50" s="77"/>
      <c r="CT50" s="77"/>
      <c r="CU50" s="77"/>
      <c r="CV50" s="77"/>
      <c r="CW50" s="77"/>
      <c r="CX50" s="77"/>
      <c r="CY50" s="77"/>
      <c r="CZ50" s="77"/>
      <c r="DA50" s="77"/>
      <c r="DB50" s="77"/>
      <c r="DC50" s="77"/>
      <c r="DD50" s="77"/>
      <c r="DE50" s="77"/>
      <c r="DF50" s="77"/>
      <c r="DG50" s="77"/>
      <c r="DH50" s="77"/>
      <c r="DI50" s="77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  <c r="DV50" s="77"/>
      <c r="DW50" s="77"/>
      <c r="DX50" s="77"/>
      <c r="DY50" s="77"/>
      <c r="DZ50" s="77"/>
      <c r="EA50" s="77"/>
      <c r="EB50" s="77"/>
      <c r="EC50" s="77"/>
      <c r="ED50" s="77"/>
      <c r="EE50" s="77"/>
      <c r="EF50" s="77"/>
      <c r="EG50" s="77"/>
      <c r="EH50" s="77"/>
      <c r="EI50" s="77"/>
      <c r="EJ50" s="77"/>
      <c r="EK50" s="77"/>
      <c r="EL50" s="77"/>
      <c r="EM50" s="77"/>
      <c r="EN50" s="77"/>
      <c r="EO50" s="77"/>
      <c r="EP50" s="77"/>
      <c r="EQ50" s="77"/>
      <c r="ER50" s="77"/>
      <c r="ES50" s="77"/>
      <c r="ET50" s="77"/>
      <c r="EU50" s="77"/>
      <c r="EV50" s="77"/>
      <c r="EW50" s="77"/>
      <c r="EX50" s="77"/>
      <c r="EY50" s="77"/>
      <c r="EZ50" s="77"/>
      <c r="FA50" s="77"/>
      <c r="FB50" s="77"/>
      <c r="FC50" s="77"/>
      <c r="FD50" s="77"/>
      <c r="FE50" s="77"/>
      <c r="FF50" s="77"/>
      <c r="FG50" s="77"/>
      <c r="FH50" s="77"/>
      <c r="FI50" s="77"/>
      <c r="FJ50" s="77"/>
      <c r="FK50" s="77"/>
      <c r="FL50" s="77"/>
      <c r="FM50" s="77"/>
      <c r="FN50" s="77"/>
      <c r="FO50" s="77"/>
      <c r="FP50" s="77"/>
      <c r="FQ50" s="77"/>
      <c r="FR50" s="77"/>
      <c r="FS50" s="77"/>
      <c r="FT50" s="77"/>
      <c r="FU50" s="77"/>
      <c r="FV50" s="77"/>
      <c r="FW50" s="77"/>
      <c r="FX50" s="77"/>
      <c r="FY50" s="77"/>
      <c r="FZ50" s="77"/>
      <c r="GA50" s="77"/>
      <c r="GB50" s="77"/>
    </row>
    <row r="51" spans="1:184" ht="15.55" customHeight="1" outlineLevel="2">
      <c r="A51" s="173"/>
      <c r="B51" s="177" t="s">
        <v>395</v>
      </c>
      <c r="C51" s="171">
        <f t="shared" si="12"/>
        <v>46297</v>
      </c>
      <c r="D51" s="171">
        <f t="shared" si="9"/>
        <v>46299</v>
      </c>
      <c r="E51" s="176">
        <v>3</v>
      </c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8"/>
      <c r="AN51" s="78"/>
      <c r="AO51" s="79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>
        <v>3</v>
      </c>
      <c r="CQ51" s="77">
        <v>3</v>
      </c>
      <c r="CR51" s="77">
        <v>3</v>
      </c>
      <c r="CS51" s="77"/>
      <c r="CT51" s="77"/>
      <c r="CU51" s="77"/>
      <c r="CV51" s="77"/>
      <c r="CW51" s="77"/>
      <c r="CX51" s="77"/>
      <c r="CY51" s="77"/>
      <c r="CZ51" s="77"/>
      <c r="DA51" s="77"/>
      <c r="DB51" s="77"/>
      <c r="DC51" s="77"/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77"/>
      <c r="DQ51" s="77"/>
      <c r="DR51" s="77"/>
      <c r="DS51" s="77"/>
      <c r="DT51" s="77"/>
      <c r="DU51" s="77"/>
      <c r="DV51" s="77"/>
      <c r="DW51" s="77"/>
      <c r="DX51" s="77"/>
      <c r="DY51" s="77"/>
      <c r="DZ51" s="77"/>
      <c r="EA51" s="77"/>
      <c r="EB51" s="77"/>
      <c r="EC51" s="77"/>
      <c r="ED51" s="77"/>
      <c r="EE51" s="77"/>
      <c r="EF51" s="77"/>
      <c r="EG51" s="77"/>
      <c r="EH51" s="77"/>
      <c r="EI51" s="77"/>
      <c r="EJ51" s="77"/>
      <c r="EK51" s="77"/>
      <c r="EL51" s="77"/>
      <c r="EM51" s="77"/>
      <c r="EN51" s="77"/>
      <c r="EO51" s="77"/>
      <c r="EP51" s="77"/>
      <c r="EQ51" s="77"/>
      <c r="ER51" s="77"/>
      <c r="ES51" s="77"/>
      <c r="ET51" s="77"/>
      <c r="EU51" s="77"/>
      <c r="EV51" s="77"/>
      <c r="EW51" s="77"/>
      <c r="EX51" s="77"/>
      <c r="EY51" s="77"/>
      <c r="EZ51" s="77"/>
      <c r="FA51" s="77"/>
      <c r="FB51" s="77"/>
      <c r="FC51" s="77"/>
      <c r="FD51" s="77"/>
      <c r="FE51" s="77"/>
      <c r="FF51" s="77"/>
      <c r="FG51" s="77"/>
      <c r="FH51" s="77"/>
      <c r="FI51" s="77"/>
      <c r="FJ51" s="77"/>
      <c r="FK51" s="77"/>
      <c r="FL51" s="77"/>
      <c r="FM51" s="77"/>
      <c r="FN51" s="77"/>
      <c r="FO51" s="77"/>
      <c r="FP51" s="77"/>
      <c r="FQ51" s="77"/>
      <c r="FR51" s="77"/>
      <c r="FS51" s="77"/>
      <c r="FT51" s="77"/>
      <c r="FU51" s="77"/>
      <c r="FV51" s="77"/>
      <c r="FW51" s="77"/>
      <c r="FX51" s="77"/>
      <c r="FY51" s="77"/>
      <c r="FZ51" s="77"/>
      <c r="GA51" s="77"/>
      <c r="GB51" s="77"/>
    </row>
    <row r="52" spans="1:184" ht="15.55" customHeight="1" outlineLevel="2">
      <c r="A52" s="173"/>
      <c r="B52" s="177" t="s">
        <v>396</v>
      </c>
      <c r="C52" s="171">
        <f t="shared" si="12"/>
        <v>46300</v>
      </c>
      <c r="D52" s="171">
        <f t="shared" si="9"/>
        <v>46301</v>
      </c>
      <c r="E52" s="176">
        <v>2</v>
      </c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8"/>
      <c r="AN52" s="78"/>
      <c r="AO52" s="79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>
        <v>3</v>
      </c>
      <c r="CT52" s="77">
        <v>3</v>
      </c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77"/>
      <c r="DQ52" s="77"/>
      <c r="DR52" s="77"/>
      <c r="DS52" s="77"/>
      <c r="DT52" s="77"/>
      <c r="DU52" s="77"/>
      <c r="DV52" s="77"/>
      <c r="DW52" s="77"/>
      <c r="DX52" s="77"/>
      <c r="DY52" s="77"/>
      <c r="DZ52" s="77"/>
      <c r="EA52" s="77"/>
      <c r="EB52" s="77"/>
      <c r="EC52" s="77"/>
      <c r="ED52" s="77"/>
      <c r="EE52" s="77"/>
      <c r="EF52" s="77"/>
      <c r="EG52" s="77"/>
      <c r="EH52" s="77"/>
      <c r="EI52" s="77"/>
      <c r="EJ52" s="77"/>
      <c r="EK52" s="77"/>
      <c r="EL52" s="77"/>
      <c r="EM52" s="77"/>
      <c r="EN52" s="77"/>
      <c r="EO52" s="77"/>
      <c r="EP52" s="77"/>
      <c r="EQ52" s="77"/>
      <c r="ER52" s="77"/>
      <c r="ES52" s="77"/>
      <c r="ET52" s="77"/>
      <c r="EU52" s="77"/>
      <c r="EV52" s="77"/>
      <c r="EW52" s="77"/>
      <c r="EX52" s="77"/>
      <c r="EY52" s="77"/>
      <c r="EZ52" s="77"/>
      <c r="FA52" s="77"/>
      <c r="FB52" s="77"/>
      <c r="FC52" s="77"/>
      <c r="FD52" s="77"/>
      <c r="FE52" s="77"/>
      <c r="FF52" s="77"/>
      <c r="FG52" s="77"/>
      <c r="FH52" s="77"/>
      <c r="FI52" s="77"/>
      <c r="FJ52" s="77"/>
      <c r="FK52" s="77"/>
      <c r="FL52" s="77"/>
      <c r="FM52" s="77"/>
      <c r="FN52" s="77"/>
      <c r="FO52" s="77"/>
      <c r="FP52" s="77"/>
      <c r="FQ52" s="77"/>
      <c r="FR52" s="77"/>
      <c r="FS52" s="77"/>
      <c r="FT52" s="77"/>
      <c r="FU52" s="77"/>
      <c r="FV52" s="77"/>
      <c r="FW52" s="77"/>
      <c r="FX52" s="77"/>
      <c r="FY52" s="77"/>
      <c r="FZ52" s="77"/>
      <c r="GA52" s="77"/>
      <c r="GB52" s="77"/>
    </row>
    <row r="53" spans="1:184" ht="15.55" customHeight="1" outlineLevel="2">
      <c r="A53" s="173"/>
      <c r="B53" s="177" t="s">
        <v>397</v>
      </c>
      <c r="C53" s="171">
        <f>D52-2</f>
        <v>46299</v>
      </c>
      <c r="D53" s="171">
        <f t="shared" si="9"/>
        <v>46302</v>
      </c>
      <c r="E53" s="176">
        <v>4</v>
      </c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8"/>
      <c r="AN53" s="78"/>
      <c r="AO53" s="79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>
        <v>2</v>
      </c>
      <c r="CS53" s="77">
        <v>2</v>
      </c>
      <c r="CT53" s="77">
        <v>2</v>
      </c>
      <c r="CU53" s="77">
        <v>2</v>
      </c>
      <c r="CV53" s="77"/>
      <c r="CW53" s="77"/>
      <c r="CX53" s="77"/>
      <c r="CY53" s="77"/>
      <c r="CZ53" s="77"/>
      <c r="DA53" s="77"/>
      <c r="DB53" s="77"/>
      <c r="DC53" s="77"/>
      <c r="DD53" s="77"/>
      <c r="DE53" s="77"/>
      <c r="DF53" s="77"/>
      <c r="DG53" s="77"/>
      <c r="DH53" s="77"/>
      <c r="DI53" s="77"/>
      <c r="DJ53" s="77"/>
      <c r="DK53" s="77"/>
      <c r="DL53" s="77"/>
      <c r="DM53" s="77"/>
      <c r="DN53" s="77"/>
      <c r="DO53" s="77"/>
      <c r="DP53" s="77"/>
      <c r="DQ53" s="77"/>
      <c r="DR53" s="77"/>
      <c r="DS53" s="77"/>
      <c r="DT53" s="77"/>
      <c r="DU53" s="77"/>
      <c r="DV53" s="77"/>
      <c r="DW53" s="77"/>
      <c r="DX53" s="77"/>
      <c r="DY53" s="77"/>
      <c r="DZ53" s="77"/>
      <c r="EA53" s="77"/>
      <c r="EB53" s="77"/>
      <c r="EC53" s="77"/>
      <c r="ED53" s="77"/>
      <c r="EE53" s="77"/>
      <c r="EF53" s="77"/>
      <c r="EG53" s="77"/>
      <c r="EH53" s="77"/>
      <c r="EI53" s="77"/>
      <c r="EJ53" s="77"/>
      <c r="EK53" s="77"/>
      <c r="EL53" s="77"/>
      <c r="EM53" s="77"/>
      <c r="EN53" s="77"/>
      <c r="EO53" s="77"/>
      <c r="EP53" s="77"/>
      <c r="EQ53" s="77"/>
      <c r="ER53" s="77"/>
      <c r="ES53" s="77"/>
      <c r="ET53" s="77"/>
      <c r="EU53" s="77"/>
      <c r="EV53" s="77"/>
      <c r="EW53" s="77"/>
      <c r="EX53" s="77"/>
      <c r="EY53" s="77"/>
      <c r="EZ53" s="77"/>
      <c r="FA53" s="77"/>
      <c r="FB53" s="77"/>
      <c r="FC53" s="77"/>
      <c r="FD53" s="77"/>
      <c r="FE53" s="77"/>
      <c r="FF53" s="77"/>
      <c r="FG53" s="77"/>
      <c r="FH53" s="77"/>
      <c r="FI53" s="77"/>
      <c r="FJ53" s="77"/>
      <c r="FK53" s="77"/>
      <c r="FL53" s="77"/>
      <c r="FM53" s="77"/>
      <c r="FN53" s="77"/>
      <c r="FO53" s="77"/>
      <c r="FP53" s="77"/>
      <c r="FQ53" s="77"/>
      <c r="FR53" s="77"/>
      <c r="FS53" s="77"/>
      <c r="FT53" s="77"/>
      <c r="FU53" s="77"/>
      <c r="FV53" s="77"/>
      <c r="FW53" s="77"/>
      <c r="FX53" s="77"/>
      <c r="FY53" s="77"/>
      <c r="FZ53" s="77"/>
      <c r="GA53" s="77"/>
      <c r="GB53" s="77"/>
    </row>
    <row r="54" spans="1:184" ht="15.55" customHeight="1" outlineLevel="2">
      <c r="A54" s="174"/>
      <c r="B54" s="177" t="s">
        <v>398</v>
      </c>
      <c r="C54" s="171">
        <f t="shared" ref="C54:C58" si="13">D53+1</f>
        <v>46303</v>
      </c>
      <c r="D54" s="171">
        <f t="shared" si="9"/>
        <v>46306</v>
      </c>
      <c r="E54" s="176">
        <v>4</v>
      </c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8"/>
      <c r="AN54" s="78"/>
      <c r="AO54" s="79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>
        <v>2</v>
      </c>
      <c r="CW54" s="77">
        <v>2</v>
      </c>
      <c r="CX54" s="77">
        <v>2</v>
      </c>
      <c r="CY54" s="77">
        <v>2</v>
      </c>
      <c r="CZ54" s="77"/>
      <c r="DA54" s="77"/>
      <c r="DB54" s="77"/>
      <c r="DC54" s="77"/>
      <c r="DD54" s="77"/>
      <c r="DE54" s="77"/>
      <c r="DF54" s="77"/>
      <c r="DG54" s="77"/>
      <c r="DH54" s="77"/>
      <c r="DI54" s="77"/>
      <c r="DJ54" s="77"/>
      <c r="DK54" s="77"/>
      <c r="DL54" s="77"/>
      <c r="DM54" s="77"/>
      <c r="DN54" s="77"/>
      <c r="DO54" s="77"/>
      <c r="DP54" s="77"/>
      <c r="DQ54" s="77"/>
      <c r="DR54" s="77"/>
      <c r="DS54" s="77"/>
      <c r="DT54" s="77"/>
      <c r="DU54" s="77"/>
      <c r="DV54" s="77"/>
      <c r="DW54" s="77"/>
      <c r="DX54" s="77"/>
      <c r="DY54" s="77"/>
      <c r="DZ54" s="77"/>
      <c r="EA54" s="77"/>
      <c r="EB54" s="77"/>
      <c r="EC54" s="77"/>
      <c r="ED54" s="77"/>
      <c r="EE54" s="77"/>
      <c r="EF54" s="77"/>
      <c r="EG54" s="77"/>
      <c r="EH54" s="77"/>
      <c r="EI54" s="77"/>
      <c r="EJ54" s="77"/>
      <c r="EK54" s="77"/>
      <c r="EL54" s="77"/>
      <c r="EM54" s="77"/>
      <c r="EN54" s="77"/>
      <c r="EO54" s="77"/>
      <c r="EP54" s="77"/>
      <c r="EQ54" s="77"/>
      <c r="ER54" s="77"/>
      <c r="ES54" s="77"/>
      <c r="ET54" s="77"/>
      <c r="EU54" s="77"/>
      <c r="EV54" s="77"/>
      <c r="EW54" s="77"/>
      <c r="EX54" s="77"/>
      <c r="EY54" s="77"/>
      <c r="EZ54" s="77"/>
      <c r="FA54" s="77"/>
      <c r="FB54" s="77"/>
      <c r="FC54" s="77"/>
      <c r="FD54" s="77"/>
      <c r="FE54" s="77"/>
      <c r="FF54" s="77"/>
      <c r="FG54" s="77"/>
      <c r="FH54" s="77"/>
      <c r="FI54" s="77"/>
      <c r="FJ54" s="77"/>
      <c r="FK54" s="77"/>
      <c r="FL54" s="77"/>
      <c r="FM54" s="77"/>
      <c r="FN54" s="77"/>
      <c r="FO54" s="77"/>
      <c r="FP54" s="77"/>
      <c r="FQ54" s="77"/>
      <c r="FR54" s="77"/>
      <c r="FS54" s="77"/>
      <c r="FT54" s="77"/>
      <c r="FU54" s="77"/>
      <c r="FV54" s="77"/>
      <c r="FW54" s="77"/>
      <c r="FX54" s="77"/>
      <c r="FY54" s="77"/>
      <c r="FZ54" s="77"/>
      <c r="GA54" s="77"/>
      <c r="GB54" s="77"/>
    </row>
    <row r="55" spans="1:184" ht="15.55" customHeight="1" outlineLevel="2">
      <c r="A55" s="180" t="s">
        <v>399</v>
      </c>
      <c r="B55" s="177" t="s">
        <v>400</v>
      </c>
      <c r="C55" s="171">
        <f>D52+1</f>
        <v>46302</v>
      </c>
      <c r="D55" s="171">
        <f t="shared" si="9"/>
        <v>46302</v>
      </c>
      <c r="E55" s="176">
        <v>1</v>
      </c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8"/>
      <c r="AN55" s="78"/>
      <c r="AO55" s="79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>
        <v>3</v>
      </c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  <c r="DV55" s="77"/>
      <c r="DW55" s="77"/>
      <c r="DX55" s="77"/>
      <c r="DY55" s="77"/>
      <c r="DZ55" s="77"/>
      <c r="EA55" s="77"/>
      <c r="EB55" s="77"/>
      <c r="EC55" s="77"/>
      <c r="ED55" s="77"/>
      <c r="EE55" s="77"/>
      <c r="EF55" s="77"/>
      <c r="EG55" s="77"/>
      <c r="EH55" s="77"/>
      <c r="EI55" s="77"/>
      <c r="EJ55" s="77"/>
      <c r="EK55" s="77"/>
      <c r="EL55" s="77"/>
      <c r="EM55" s="77"/>
      <c r="EN55" s="77"/>
      <c r="EO55" s="77"/>
      <c r="EP55" s="77"/>
      <c r="EQ55" s="77"/>
      <c r="ER55" s="77"/>
      <c r="ES55" s="77"/>
      <c r="ET55" s="77"/>
      <c r="EU55" s="77"/>
      <c r="EV55" s="77"/>
      <c r="EW55" s="77"/>
      <c r="EX55" s="77"/>
      <c r="EY55" s="77"/>
      <c r="EZ55" s="77"/>
      <c r="FA55" s="77"/>
      <c r="FB55" s="77"/>
      <c r="FC55" s="77"/>
      <c r="FD55" s="77"/>
      <c r="FE55" s="77"/>
      <c r="FF55" s="77"/>
      <c r="FG55" s="77"/>
      <c r="FH55" s="77"/>
      <c r="FI55" s="77"/>
      <c r="FJ55" s="77"/>
      <c r="FK55" s="77"/>
      <c r="FL55" s="77"/>
      <c r="FM55" s="77"/>
      <c r="FN55" s="77"/>
      <c r="FO55" s="77"/>
      <c r="FP55" s="77"/>
      <c r="FQ55" s="77"/>
      <c r="FR55" s="77"/>
      <c r="FS55" s="77"/>
      <c r="FT55" s="77"/>
      <c r="FU55" s="77"/>
      <c r="FV55" s="77"/>
      <c r="FW55" s="77"/>
      <c r="FX55" s="77"/>
      <c r="FY55" s="77"/>
      <c r="FZ55" s="77"/>
      <c r="GA55" s="77"/>
      <c r="GB55" s="77"/>
    </row>
    <row r="56" spans="1:184" ht="15.55" customHeight="1" outlineLevel="2">
      <c r="A56" s="173"/>
      <c r="B56" s="177" t="s">
        <v>401</v>
      </c>
      <c r="C56" s="171">
        <f t="shared" si="13"/>
        <v>46303</v>
      </c>
      <c r="D56" s="171">
        <f t="shared" si="9"/>
        <v>46304</v>
      </c>
      <c r="E56" s="176">
        <v>2</v>
      </c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8"/>
      <c r="AN56" s="78"/>
      <c r="AO56" s="79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>
        <v>3</v>
      </c>
      <c r="CW56" s="77">
        <v>3</v>
      </c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  <c r="DV56" s="77"/>
      <c r="DW56" s="77"/>
      <c r="DX56" s="77"/>
      <c r="DY56" s="77"/>
      <c r="DZ56" s="77"/>
      <c r="EA56" s="77"/>
      <c r="EB56" s="77"/>
      <c r="EC56" s="77"/>
      <c r="ED56" s="77"/>
      <c r="EE56" s="77"/>
      <c r="EF56" s="77"/>
      <c r="EG56" s="77"/>
      <c r="EH56" s="77"/>
      <c r="EI56" s="77"/>
      <c r="EJ56" s="77"/>
      <c r="EK56" s="77"/>
      <c r="EL56" s="77"/>
      <c r="EM56" s="77"/>
      <c r="EN56" s="77"/>
      <c r="EO56" s="77"/>
      <c r="EP56" s="77"/>
      <c r="EQ56" s="77"/>
      <c r="ER56" s="77"/>
      <c r="ES56" s="77"/>
      <c r="ET56" s="77"/>
      <c r="EU56" s="77"/>
      <c r="EV56" s="77"/>
      <c r="EW56" s="77"/>
      <c r="EX56" s="77"/>
      <c r="EY56" s="77"/>
      <c r="EZ56" s="77"/>
      <c r="FA56" s="77"/>
      <c r="FB56" s="77"/>
      <c r="FC56" s="77"/>
      <c r="FD56" s="77"/>
      <c r="FE56" s="77"/>
      <c r="FF56" s="77"/>
      <c r="FG56" s="77"/>
      <c r="FH56" s="77"/>
      <c r="FI56" s="77"/>
      <c r="FJ56" s="77"/>
      <c r="FK56" s="77"/>
      <c r="FL56" s="77"/>
      <c r="FM56" s="77"/>
      <c r="FN56" s="77"/>
      <c r="FO56" s="77"/>
      <c r="FP56" s="77"/>
      <c r="FQ56" s="77"/>
      <c r="FR56" s="77"/>
      <c r="FS56" s="77"/>
      <c r="FT56" s="77"/>
      <c r="FU56" s="77"/>
      <c r="FV56" s="77"/>
      <c r="FW56" s="77"/>
      <c r="FX56" s="77"/>
      <c r="FY56" s="77"/>
      <c r="FZ56" s="77"/>
      <c r="GA56" s="77"/>
      <c r="GB56" s="77"/>
    </row>
    <row r="57" spans="1:184" ht="15" customHeight="1" outlineLevel="2">
      <c r="A57" s="173"/>
      <c r="B57" s="177" t="s">
        <v>402</v>
      </c>
      <c r="C57" s="171">
        <f t="shared" si="13"/>
        <v>46305</v>
      </c>
      <c r="D57" s="171">
        <f t="shared" si="9"/>
        <v>46306</v>
      </c>
      <c r="E57" s="176">
        <v>2</v>
      </c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>
        <v>3</v>
      </c>
      <c r="CY57" s="77">
        <v>3</v>
      </c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  <c r="EA57" s="77"/>
      <c r="EB57" s="77"/>
      <c r="EC57" s="77"/>
      <c r="ED57" s="77"/>
      <c r="EE57" s="77"/>
      <c r="EF57" s="77"/>
      <c r="EG57" s="77"/>
      <c r="EH57" s="77"/>
      <c r="EI57" s="77"/>
      <c r="EJ57" s="77"/>
      <c r="EK57" s="77"/>
      <c r="EL57" s="77"/>
      <c r="EM57" s="77"/>
      <c r="EN57" s="77"/>
      <c r="EO57" s="77"/>
      <c r="EP57" s="77"/>
      <c r="EQ57" s="77"/>
      <c r="ER57" s="77"/>
      <c r="ES57" s="77"/>
      <c r="ET57" s="77"/>
      <c r="EU57" s="77"/>
      <c r="EV57" s="77"/>
      <c r="EW57" s="77"/>
      <c r="EX57" s="77"/>
      <c r="EY57" s="77"/>
      <c r="EZ57" s="77"/>
      <c r="FA57" s="77"/>
      <c r="FB57" s="77"/>
      <c r="FC57" s="77"/>
      <c r="FD57" s="77"/>
      <c r="FE57" s="77"/>
      <c r="FF57" s="77"/>
      <c r="FG57" s="77"/>
      <c r="FH57" s="77"/>
      <c r="FI57" s="77"/>
      <c r="FJ57" s="77"/>
      <c r="FK57" s="77"/>
      <c r="FL57" s="77"/>
      <c r="FM57" s="77"/>
      <c r="FN57" s="77"/>
      <c r="FO57" s="77"/>
      <c r="FP57" s="77"/>
      <c r="FQ57" s="77"/>
      <c r="FR57" s="77"/>
      <c r="FS57" s="77"/>
      <c r="FT57" s="77"/>
      <c r="FU57" s="77"/>
      <c r="FV57" s="77"/>
      <c r="FW57" s="77"/>
      <c r="FX57" s="77"/>
      <c r="FY57" s="77"/>
      <c r="FZ57" s="77"/>
      <c r="GA57" s="77"/>
      <c r="GB57" s="77"/>
    </row>
    <row r="58" spans="1:184" ht="15" customHeight="1" outlineLevel="2">
      <c r="A58" s="173"/>
      <c r="B58" s="177" t="s">
        <v>403</v>
      </c>
      <c r="C58" s="171">
        <f t="shared" si="13"/>
        <v>46307</v>
      </c>
      <c r="D58" s="171">
        <f t="shared" si="9"/>
        <v>46308</v>
      </c>
      <c r="E58" s="176">
        <v>2</v>
      </c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8"/>
      <c r="AW58" s="78"/>
      <c r="AX58" s="78"/>
      <c r="AY58" s="78"/>
      <c r="AZ58" s="194"/>
      <c r="BA58" s="194"/>
      <c r="BB58" s="194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>
        <v>3</v>
      </c>
      <c r="DA58" s="77">
        <v>3</v>
      </c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  <c r="DV58" s="77"/>
      <c r="DW58" s="77"/>
      <c r="DX58" s="77"/>
      <c r="DY58" s="77"/>
      <c r="DZ58" s="77"/>
      <c r="EA58" s="77"/>
      <c r="EB58" s="77"/>
      <c r="EC58" s="77"/>
      <c r="ED58" s="77"/>
      <c r="EE58" s="77"/>
      <c r="EF58" s="77"/>
      <c r="EG58" s="77"/>
      <c r="EH58" s="77"/>
      <c r="EI58" s="77"/>
      <c r="EJ58" s="77"/>
      <c r="EK58" s="77"/>
      <c r="EL58" s="77"/>
      <c r="EM58" s="77"/>
      <c r="EN58" s="77"/>
      <c r="EO58" s="77"/>
      <c r="EP58" s="77"/>
      <c r="EQ58" s="77"/>
      <c r="ER58" s="77"/>
      <c r="ES58" s="77"/>
      <c r="ET58" s="77"/>
      <c r="EU58" s="77"/>
      <c r="EV58" s="77"/>
      <c r="EW58" s="77"/>
      <c r="EX58" s="77"/>
      <c r="EY58" s="77"/>
      <c r="EZ58" s="77"/>
      <c r="FA58" s="77"/>
      <c r="FB58" s="77"/>
      <c r="FC58" s="77"/>
      <c r="FD58" s="77"/>
      <c r="FE58" s="77"/>
      <c r="FF58" s="77"/>
      <c r="FG58" s="77"/>
      <c r="FH58" s="77"/>
      <c r="FI58" s="77"/>
      <c r="FJ58" s="77"/>
      <c r="FK58" s="77"/>
      <c r="FL58" s="77"/>
      <c r="FM58" s="77"/>
      <c r="FN58" s="77"/>
      <c r="FO58" s="77"/>
      <c r="FP58" s="77"/>
      <c r="FQ58" s="77"/>
      <c r="FR58" s="77"/>
      <c r="FS58" s="77"/>
      <c r="FT58" s="77"/>
      <c r="FU58" s="77"/>
      <c r="FV58" s="77"/>
      <c r="FW58" s="77"/>
      <c r="FX58" s="77"/>
      <c r="FY58" s="77"/>
      <c r="FZ58" s="77"/>
      <c r="GA58" s="77"/>
      <c r="GB58" s="77"/>
    </row>
    <row r="59" spans="1:184" ht="15" customHeight="1" outlineLevel="2">
      <c r="A59" s="173"/>
      <c r="B59" s="177" t="s">
        <v>397</v>
      </c>
      <c r="C59" s="171">
        <f>D53+1</f>
        <v>46303</v>
      </c>
      <c r="D59" s="171">
        <f t="shared" si="9"/>
        <v>46306</v>
      </c>
      <c r="E59" s="176">
        <v>4</v>
      </c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9"/>
      <c r="AY59" s="79"/>
      <c r="AZ59" s="79"/>
      <c r="BA59" s="79"/>
      <c r="BB59" s="79"/>
      <c r="BC59" s="79"/>
      <c r="BD59" s="79"/>
      <c r="BE59" s="79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>
        <v>2</v>
      </c>
      <c r="CW59" s="77">
        <v>2</v>
      </c>
      <c r="CX59" s="77">
        <v>2</v>
      </c>
      <c r="CY59" s="77">
        <v>2</v>
      </c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77"/>
      <c r="DX59" s="77"/>
      <c r="DY59" s="77"/>
      <c r="DZ59" s="77"/>
      <c r="EA59" s="77"/>
      <c r="EB59" s="77"/>
      <c r="EC59" s="77"/>
      <c r="ED59" s="77"/>
      <c r="EE59" s="77"/>
      <c r="EF59" s="77"/>
      <c r="EG59" s="77"/>
      <c r="EH59" s="77"/>
      <c r="EI59" s="77"/>
      <c r="EJ59" s="77"/>
      <c r="EK59" s="77"/>
      <c r="EL59" s="77"/>
      <c r="EM59" s="77"/>
      <c r="EN59" s="77"/>
      <c r="EO59" s="77"/>
      <c r="EP59" s="77"/>
      <c r="EQ59" s="77"/>
      <c r="ER59" s="77"/>
      <c r="ES59" s="77"/>
      <c r="ET59" s="77"/>
      <c r="EU59" s="77"/>
      <c r="EV59" s="77"/>
      <c r="EW59" s="77"/>
      <c r="EX59" s="77"/>
      <c r="EY59" s="77"/>
      <c r="EZ59" s="77"/>
      <c r="FA59" s="77"/>
      <c r="FB59" s="77"/>
      <c r="FC59" s="77"/>
      <c r="FD59" s="77"/>
      <c r="FE59" s="77"/>
      <c r="FF59" s="77"/>
      <c r="FG59" s="77"/>
      <c r="FH59" s="77"/>
      <c r="FI59" s="77"/>
      <c r="FJ59" s="77"/>
      <c r="FK59" s="77"/>
      <c r="FL59" s="77"/>
      <c r="FM59" s="77"/>
      <c r="FN59" s="77"/>
      <c r="FO59" s="77"/>
      <c r="FP59" s="77"/>
      <c r="FQ59" s="77"/>
      <c r="FR59" s="77"/>
      <c r="FS59" s="77"/>
      <c r="FT59" s="77"/>
      <c r="FU59" s="77"/>
      <c r="FV59" s="77"/>
      <c r="FW59" s="77"/>
      <c r="FX59" s="77"/>
      <c r="FY59" s="77"/>
      <c r="FZ59" s="77"/>
      <c r="GA59" s="77"/>
      <c r="GB59" s="77"/>
    </row>
    <row r="60" spans="1:184" ht="15" customHeight="1" outlineLevel="2">
      <c r="A60" s="173"/>
      <c r="B60" s="177" t="s">
        <v>398</v>
      </c>
      <c r="C60" s="171">
        <f>D54+1</f>
        <v>46307</v>
      </c>
      <c r="D60" s="171">
        <f t="shared" si="9"/>
        <v>46310</v>
      </c>
      <c r="E60" s="176">
        <v>4</v>
      </c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>
        <v>2</v>
      </c>
      <c r="DA60" s="77">
        <v>2</v>
      </c>
      <c r="DB60" s="77">
        <v>2</v>
      </c>
      <c r="DC60" s="77">
        <v>2</v>
      </c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  <c r="DV60" s="77"/>
      <c r="DW60" s="77"/>
      <c r="DX60" s="77"/>
      <c r="DY60" s="77"/>
      <c r="DZ60" s="77"/>
      <c r="EA60" s="77"/>
      <c r="EB60" s="77"/>
      <c r="EC60" s="77"/>
      <c r="ED60" s="77"/>
      <c r="EE60" s="77"/>
      <c r="EF60" s="77"/>
      <c r="EG60" s="77"/>
      <c r="EH60" s="77"/>
      <c r="EI60" s="77"/>
      <c r="EJ60" s="77"/>
      <c r="EK60" s="77"/>
      <c r="EL60" s="77"/>
      <c r="EM60" s="77"/>
      <c r="EN60" s="77"/>
      <c r="EO60" s="77"/>
      <c r="EP60" s="77"/>
      <c r="EQ60" s="77"/>
      <c r="ER60" s="77"/>
      <c r="ES60" s="77"/>
      <c r="ET60" s="77"/>
      <c r="EU60" s="77"/>
      <c r="EV60" s="77"/>
      <c r="EW60" s="77"/>
      <c r="EX60" s="77"/>
      <c r="EY60" s="77"/>
      <c r="EZ60" s="77"/>
      <c r="FA60" s="77"/>
      <c r="FB60" s="77"/>
      <c r="FC60" s="77"/>
      <c r="FD60" s="77"/>
      <c r="FE60" s="77"/>
      <c r="FF60" s="77"/>
      <c r="FG60" s="77"/>
      <c r="FH60" s="77"/>
      <c r="FI60" s="77"/>
      <c r="FJ60" s="77"/>
      <c r="FK60" s="77"/>
      <c r="FL60" s="77"/>
      <c r="FM60" s="77"/>
      <c r="FN60" s="77"/>
      <c r="FO60" s="77"/>
      <c r="FP60" s="77"/>
      <c r="FQ60" s="77"/>
      <c r="FR60" s="77"/>
      <c r="FS60" s="77"/>
      <c r="FT60" s="77"/>
      <c r="FU60" s="77"/>
      <c r="FV60" s="77"/>
      <c r="FW60" s="77"/>
      <c r="FX60" s="77"/>
      <c r="FY60" s="77"/>
      <c r="FZ60" s="77"/>
      <c r="GA60" s="77"/>
      <c r="GB60" s="77"/>
    </row>
    <row r="61" spans="1:184" ht="15" customHeight="1" outlineLevel="2">
      <c r="A61" s="169" t="s">
        <v>404</v>
      </c>
      <c r="B61" s="177" t="s">
        <v>405</v>
      </c>
      <c r="C61" s="171">
        <f>D58+1</f>
        <v>46309</v>
      </c>
      <c r="D61" s="171">
        <f t="shared" si="9"/>
        <v>46312</v>
      </c>
      <c r="E61" s="176">
        <v>4</v>
      </c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9"/>
      <c r="BN61" s="79"/>
      <c r="BO61" s="79"/>
      <c r="BP61" s="79"/>
      <c r="BQ61" s="79"/>
      <c r="BR61" s="79"/>
      <c r="BS61" s="79"/>
      <c r="BT61" s="79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>
        <v>3</v>
      </c>
      <c r="DC61" s="77">
        <v>3</v>
      </c>
      <c r="DD61" s="77">
        <v>3</v>
      </c>
      <c r="DE61" s="77">
        <v>3</v>
      </c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  <c r="DV61" s="77"/>
      <c r="DW61" s="77"/>
      <c r="DX61" s="77"/>
      <c r="DY61" s="77"/>
      <c r="DZ61" s="77"/>
      <c r="EA61" s="77"/>
      <c r="EB61" s="77"/>
      <c r="EC61" s="77"/>
      <c r="ED61" s="77"/>
      <c r="EE61" s="77"/>
      <c r="EF61" s="77"/>
      <c r="EG61" s="77"/>
      <c r="EH61" s="77"/>
      <c r="EI61" s="77"/>
      <c r="EJ61" s="77"/>
      <c r="EK61" s="77"/>
      <c r="EL61" s="77"/>
      <c r="EM61" s="77"/>
      <c r="EN61" s="77"/>
      <c r="EO61" s="77"/>
      <c r="EP61" s="77"/>
      <c r="EQ61" s="77"/>
      <c r="ER61" s="77"/>
      <c r="ES61" s="77"/>
      <c r="ET61" s="77"/>
      <c r="EU61" s="77"/>
      <c r="EV61" s="77"/>
      <c r="EW61" s="77"/>
      <c r="EX61" s="77"/>
      <c r="EY61" s="77"/>
      <c r="EZ61" s="77"/>
      <c r="FA61" s="77"/>
      <c r="FB61" s="77"/>
      <c r="FC61" s="77"/>
      <c r="FD61" s="77"/>
      <c r="FE61" s="77"/>
      <c r="FF61" s="77"/>
      <c r="FG61" s="77"/>
      <c r="FH61" s="77"/>
      <c r="FI61" s="77"/>
      <c r="FJ61" s="77"/>
      <c r="FK61" s="77"/>
      <c r="FL61" s="77"/>
      <c r="FM61" s="77"/>
      <c r="FN61" s="77"/>
      <c r="FO61" s="77"/>
      <c r="FP61" s="77"/>
      <c r="FQ61" s="77"/>
      <c r="FR61" s="77"/>
      <c r="FS61" s="77"/>
      <c r="FT61" s="77"/>
      <c r="FU61" s="77"/>
      <c r="FV61" s="77"/>
      <c r="FW61" s="77"/>
      <c r="FX61" s="77"/>
      <c r="FY61" s="77"/>
      <c r="FZ61" s="77"/>
      <c r="GA61" s="77"/>
      <c r="GB61" s="77"/>
    </row>
    <row r="62" spans="1:184" ht="15" customHeight="1" outlineLevel="2">
      <c r="A62" s="173"/>
      <c r="B62" s="177" t="s">
        <v>397</v>
      </c>
      <c r="C62" s="171">
        <f>D60+1</f>
        <v>46311</v>
      </c>
      <c r="D62" s="171">
        <f t="shared" si="9"/>
        <v>46313</v>
      </c>
      <c r="E62" s="176">
        <v>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>
        <v>3</v>
      </c>
      <c r="DE62" s="4">
        <v>3</v>
      </c>
      <c r="DF62" s="4">
        <v>3</v>
      </c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</row>
    <row r="63" spans="1:184" ht="15" customHeight="1" outlineLevel="2">
      <c r="A63" s="174"/>
      <c r="B63" s="177" t="s">
        <v>398</v>
      </c>
      <c r="C63" s="171">
        <f t="shared" ref="C63:C69" si="14">D62+1</f>
        <v>46314</v>
      </c>
      <c r="D63" s="171">
        <f t="shared" si="9"/>
        <v>46316</v>
      </c>
      <c r="E63" s="176">
        <v>3</v>
      </c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>
        <v>2</v>
      </c>
      <c r="DH63" s="4">
        <v>2</v>
      </c>
      <c r="DI63" s="4">
        <v>2</v>
      </c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</row>
    <row r="64" spans="1:184" ht="15" customHeight="1" outlineLevel="2">
      <c r="A64" s="181" t="s">
        <v>406</v>
      </c>
      <c r="B64" s="177" t="s">
        <v>405</v>
      </c>
      <c r="C64" s="171">
        <f>D61+1</f>
        <v>46313</v>
      </c>
      <c r="D64" s="171">
        <f t="shared" si="9"/>
        <v>46316</v>
      </c>
      <c r="E64" s="176">
        <v>4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>
        <v>3</v>
      </c>
      <c r="DG64" s="4">
        <v>3</v>
      </c>
      <c r="DH64" s="4">
        <v>3</v>
      </c>
      <c r="DI64" s="4">
        <v>3</v>
      </c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</row>
    <row r="65" spans="1:184" ht="15" customHeight="1" outlineLevel="2">
      <c r="A65" s="173"/>
      <c r="B65" s="177" t="s">
        <v>397</v>
      </c>
      <c r="C65" s="171">
        <f>D64-1</f>
        <v>46315</v>
      </c>
      <c r="D65" s="171">
        <f t="shared" si="9"/>
        <v>46317</v>
      </c>
      <c r="E65" s="176">
        <v>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4"/>
      <c r="BK65" s="4"/>
      <c r="BL65" s="4"/>
      <c r="BM65" s="4"/>
      <c r="BN65" s="4"/>
      <c r="BO65" s="4"/>
      <c r="BP65" s="4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>
        <v>2</v>
      </c>
      <c r="DI65" s="4">
        <v>2</v>
      </c>
      <c r="DJ65" s="4">
        <v>4</v>
      </c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</row>
    <row r="66" spans="1:184" ht="15" customHeight="1" outlineLevel="2">
      <c r="A66" s="173"/>
      <c r="B66" s="177" t="s">
        <v>398</v>
      </c>
      <c r="C66" s="171">
        <f t="shared" si="14"/>
        <v>46318</v>
      </c>
      <c r="D66" s="171">
        <f t="shared" si="9"/>
        <v>46320</v>
      </c>
      <c r="E66" s="176">
        <v>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4"/>
      <c r="BZ66" s="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>
        <v>4</v>
      </c>
      <c r="DL66" s="4">
        <v>4</v>
      </c>
      <c r="DM66" s="4">
        <v>4</v>
      </c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</row>
    <row r="67" spans="1:184" ht="15" customHeight="1" outlineLevel="2">
      <c r="A67" s="169" t="s">
        <v>407</v>
      </c>
      <c r="B67" s="177" t="s">
        <v>408</v>
      </c>
      <c r="C67" s="171">
        <f>D42+1</f>
        <v>46285</v>
      </c>
      <c r="D67" s="171">
        <f t="shared" si="9"/>
        <v>46288</v>
      </c>
      <c r="E67" s="176">
        <v>4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82"/>
      <c r="AK67" s="82"/>
      <c r="AL67" s="82"/>
      <c r="AM67" s="82"/>
      <c r="AN67" s="82"/>
      <c r="AO67" s="82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82"/>
      <c r="BB67" s="82"/>
      <c r="BC67" s="82"/>
      <c r="BD67" s="82"/>
      <c r="BE67" s="82"/>
      <c r="BF67" s="82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>
        <v>5</v>
      </c>
      <c r="CE67" s="4">
        <v>5</v>
      </c>
      <c r="CF67" s="4">
        <v>5</v>
      </c>
      <c r="CG67" s="4">
        <v>5</v>
      </c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</row>
    <row r="68" spans="1:184" ht="15" customHeight="1" outlineLevel="2">
      <c r="A68" s="173"/>
      <c r="B68" s="177" t="s">
        <v>409</v>
      </c>
      <c r="C68" s="171">
        <f t="shared" si="14"/>
        <v>46289</v>
      </c>
      <c r="D68" s="171">
        <f t="shared" si="9"/>
        <v>46290</v>
      </c>
      <c r="E68" s="176">
        <v>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4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2</v>
      </c>
      <c r="CI68" s="4">
        <v>2</v>
      </c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</row>
    <row r="69" spans="1:184" ht="15" customHeight="1" outlineLevel="2">
      <c r="A69" s="174"/>
      <c r="B69" s="177" t="s">
        <v>410</v>
      </c>
      <c r="C69" s="171">
        <f t="shared" si="14"/>
        <v>46291</v>
      </c>
      <c r="D69" s="171">
        <f t="shared" si="9"/>
        <v>46292</v>
      </c>
      <c r="E69" s="176">
        <v>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4"/>
      <c r="BO69" s="4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4"/>
      <c r="CF69" s="4"/>
      <c r="CG69" s="4"/>
      <c r="CH69" s="4"/>
      <c r="CI69" s="4"/>
      <c r="CJ69" s="4">
        <v>2</v>
      </c>
      <c r="CK69" s="4">
        <v>2</v>
      </c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</row>
    <row r="70" spans="1:184" ht="15" customHeight="1" outlineLevel="2">
      <c r="A70" s="181" t="s">
        <v>411</v>
      </c>
      <c r="B70" s="177" t="s">
        <v>412</v>
      </c>
      <c r="C70" s="171">
        <f>C22</f>
        <v>46264</v>
      </c>
      <c r="D70" s="171">
        <f t="shared" si="9"/>
        <v>46265</v>
      </c>
      <c r="E70" s="176">
        <v>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84">
        <v>2</v>
      </c>
      <c r="BJ70" s="84">
        <v>2</v>
      </c>
      <c r="BK70" s="84"/>
      <c r="BL70" s="84"/>
      <c r="BM70" s="84"/>
      <c r="BN70" s="84"/>
      <c r="BO70" s="8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84"/>
      <c r="CA70" s="84"/>
      <c r="CB70" s="84"/>
      <c r="CC70" s="84"/>
      <c r="CD70" s="84"/>
      <c r="CE70" s="84"/>
      <c r="CF70" s="8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</row>
    <row r="71" spans="1:184" ht="15" customHeight="1" outlineLevel="2">
      <c r="A71" s="173"/>
      <c r="B71" s="177" t="s">
        <v>413</v>
      </c>
      <c r="C71" s="171">
        <f>C23+7</f>
        <v>46273</v>
      </c>
      <c r="D71" s="171">
        <f t="shared" si="9"/>
        <v>46277</v>
      </c>
      <c r="E71" s="172">
        <v>5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84"/>
      <c r="BN71" s="84"/>
      <c r="BO71" s="84"/>
      <c r="BP71" s="4"/>
      <c r="BQ71" s="4"/>
      <c r="BR71" s="4">
        <v>5</v>
      </c>
      <c r="BS71" s="4">
        <v>5</v>
      </c>
      <c r="BT71" s="4">
        <v>5</v>
      </c>
      <c r="BU71" s="4">
        <v>5</v>
      </c>
      <c r="BV71" s="4">
        <v>5</v>
      </c>
      <c r="BW71" s="4"/>
      <c r="BX71" s="4"/>
      <c r="BY71" s="4"/>
      <c r="BZ71" s="4"/>
      <c r="CA71" s="4"/>
      <c r="CB71" s="4"/>
      <c r="CC71" s="4"/>
      <c r="CD71" s="84"/>
      <c r="CE71" s="84"/>
      <c r="CF71" s="8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</row>
    <row r="72" spans="1:184" ht="15" customHeight="1" outlineLevel="2">
      <c r="A72" s="173"/>
      <c r="B72" s="177" t="s">
        <v>414</v>
      </c>
      <c r="C72" s="171">
        <f t="shared" ref="C72:C74" si="15">D71+1</f>
        <v>46278</v>
      </c>
      <c r="D72" s="171">
        <f t="shared" si="9"/>
        <v>46281</v>
      </c>
      <c r="E72" s="172">
        <v>4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82"/>
      <c r="AU72" s="82"/>
      <c r="AV72" s="82"/>
      <c r="AW72" s="82"/>
      <c r="AX72" s="82"/>
      <c r="AY72" s="82"/>
      <c r="AZ72" s="82"/>
      <c r="BA72" s="82"/>
      <c r="BB72" s="4"/>
      <c r="BC72" s="4"/>
      <c r="BD72" s="4"/>
      <c r="BE72" s="4"/>
      <c r="BF72" s="4"/>
      <c r="BG72" s="4"/>
      <c r="BH72" s="4"/>
      <c r="BI72" s="4"/>
      <c r="BJ72" s="4"/>
      <c r="BK72" s="82"/>
      <c r="BL72" s="82"/>
      <c r="BM72" s="82"/>
      <c r="BN72" s="82"/>
      <c r="BO72" s="82"/>
      <c r="BP72" s="82"/>
      <c r="BQ72" s="82"/>
      <c r="BR72" s="82"/>
      <c r="BS72" s="4"/>
      <c r="BT72" s="4"/>
      <c r="BU72" s="4"/>
      <c r="BV72" s="4"/>
      <c r="BW72" s="4">
        <v>5</v>
      </c>
      <c r="BX72" s="4">
        <v>5</v>
      </c>
      <c r="BY72" s="4">
        <v>5</v>
      </c>
      <c r="BZ72" s="4">
        <v>5</v>
      </c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</row>
    <row r="73" spans="1:184" ht="15" customHeight="1" outlineLevel="2">
      <c r="A73" s="173"/>
      <c r="B73" s="177" t="s">
        <v>415</v>
      </c>
      <c r="C73" s="171">
        <f t="shared" si="15"/>
        <v>46282</v>
      </c>
      <c r="D73" s="171">
        <f t="shared" si="9"/>
        <v>46286</v>
      </c>
      <c r="E73" s="172">
        <v>5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83"/>
      <c r="BB73" s="83"/>
      <c r="BC73" s="83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83"/>
      <c r="BS73" s="83"/>
      <c r="BT73" s="83"/>
      <c r="BU73" s="4"/>
      <c r="BV73" s="4"/>
      <c r="BW73" s="4"/>
      <c r="BX73" s="4"/>
      <c r="BY73" s="4"/>
      <c r="BZ73" s="4"/>
      <c r="CA73" s="4">
        <v>5</v>
      </c>
      <c r="CB73" s="4">
        <v>5</v>
      </c>
      <c r="CC73" s="4">
        <v>5</v>
      </c>
      <c r="CD73" s="4">
        <v>5</v>
      </c>
      <c r="CE73" s="4">
        <v>5</v>
      </c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</row>
    <row r="74" spans="1:184" ht="15" customHeight="1" outlineLevel="2">
      <c r="A74" s="173"/>
      <c r="B74" s="177" t="s">
        <v>416</v>
      </c>
      <c r="C74" s="171">
        <f t="shared" si="15"/>
        <v>46287</v>
      </c>
      <c r="D74" s="171">
        <f t="shared" si="9"/>
        <v>46290</v>
      </c>
      <c r="E74" s="172">
        <v>4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84"/>
      <c r="BE74" s="84"/>
      <c r="BF74" s="84"/>
      <c r="BG74" s="84"/>
      <c r="BH74" s="84"/>
      <c r="BI74" s="8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84"/>
      <c r="BV74" s="84"/>
      <c r="BW74" s="84"/>
      <c r="BX74" s="84"/>
      <c r="BY74" s="84"/>
      <c r="BZ74" s="84"/>
      <c r="CA74" s="4"/>
      <c r="CB74" s="4"/>
      <c r="CC74" s="4"/>
      <c r="CD74" s="4"/>
      <c r="CE74" s="4"/>
      <c r="CF74" s="4">
        <v>5</v>
      </c>
      <c r="CG74" s="4">
        <v>5</v>
      </c>
      <c r="CH74" s="4">
        <v>5</v>
      </c>
      <c r="CI74" s="4">
        <v>5</v>
      </c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</row>
    <row r="75" spans="1:184" ht="15" customHeight="1" outlineLevel="2">
      <c r="A75" s="173"/>
      <c r="B75" s="177" t="s">
        <v>417</v>
      </c>
      <c r="C75" s="171">
        <f>D74-7</f>
        <v>46283</v>
      </c>
      <c r="D75" s="171">
        <f t="shared" si="9"/>
        <v>46292</v>
      </c>
      <c r="E75" s="172">
        <v>10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4"/>
      <c r="BF75" s="4"/>
      <c r="BG75" s="4"/>
      <c r="BH75" s="4"/>
      <c r="BI75" s="4"/>
      <c r="BJ75" s="4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4"/>
      <c r="BW75" s="4"/>
      <c r="BX75" s="4"/>
      <c r="BY75" s="4"/>
      <c r="BZ75" s="4"/>
      <c r="CA75" s="4"/>
      <c r="CB75" s="4">
        <v>2</v>
      </c>
      <c r="CC75" s="4">
        <v>2</v>
      </c>
      <c r="CD75" s="4">
        <v>2</v>
      </c>
      <c r="CE75" s="4">
        <v>2</v>
      </c>
      <c r="CF75" s="4">
        <v>2</v>
      </c>
      <c r="CG75" s="4">
        <v>2</v>
      </c>
      <c r="CH75" s="4">
        <v>2</v>
      </c>
      <c r="CI75" s="4">
        <v>2</v>
      </c>
      <c r="CJ75" s="4">
        <v>2</v>
      </c>
      <c r="CK75" s="4">
        <v>2</v>
      </c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</row>
    <row r="76" spans="1:184" ht="15" customHeight="1" outlineLevel="2">
      <c r="A76" s="173"/>
      <c r="B76" s="177" t="s">
        <v>418</v>
      </c>
      <c r="C76" s="171">
        <f t="shared" ref="C76:C80" si="16">D75+1</f>
        <v>46293</v>
      </c>
      <c r="D76" s="171">
        <f t="shared" si="9"/>
        <v>46299</v>
      </c>
      <c r="E76" s="172">
        <v>7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4"/>
      <c r="BS76" s="4"/>
      <c r="BT76" s="4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4"/>
      <c r="CJ76" s="4"/>
      <c r="CK76" s="4"/>
      <c r="CL76" s="4">
        <v>4</v>
      </c>
      <c r="CM76" s="4">
        <v>4</v>
      </c>
      <c r="CN76" s="4">
        <v>4</v>
      </c>
      <c r="CO76" s="4">
        <v>2</v>
      </c>
      <c r="CP76" s="4">
        <v>2</v>
      </c>
      <c r="CQ76" s="4">
        <v>2</v>
      </c>
      <c r="CR76" s="4">
        <v>2</v>
      </c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</row>
    <row r="77" spans="1:184" ht="15" customHeight="1" outlineLevel="2">
      <c r="A77" s="173"/>
      <c r="B77" s="177" t="s">
        <v>419</v>
      </c>
      <c r="C77" s="171">
        <f>C75</f>
        <v>46283</v>
      </c>
      <c r="D77" s="171">
        <f t="shared" si="9"/>
        <v>46292</v>
      </c>
      <c r="E77" s="172">
        <v>10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>
        <v>2</v>
      </c>
      <c r="CC77" s="84">
        <v>2</v>
      </c>
      <c r="CD77" s="84">
        <v>2</v>
      </c>
      <c r="CE77" s="84">
        <v>2</v>
      </c>
      <c r="CF77" s="84">
        <v>2</v>
      </c>
      <c r="CG77" s="84">
        <v>2</v>
      </c>
      <c r="CH77" s="84">
        <v>2</v>
      </c>
      <c r="CI77" s="84">
        <v>2</v>
      </c>
      <c r="CJ77" s="84">
        <v>2</v>
      </c>
      <c r="CK77" s="84">
        <v>2</v>
      </c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</row>
    <row r="78" spans="1:184" ht="15" customHeight="1" outlineLevel="2">
      <c r="A78" s="173"/>
      <c r="B78" s="177" t="s">
        <v>420</v>
      </c>
      <c r="C78" s="171">
        <f>D76-3</f>
        <v>46296</v>
      </c>
      <c r="D78" s="171">
        <f t="shared" si="9"/>
        <v>46302</v>
      </c>
      <c r="E78" s="172">
        <v>7</v>
      </c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5"/>
      <c r="AK78" s="85"/>
      <c r="AL78" s="85"/>
      <c r="AM78" s="85"/>
      <c r="AN78" s="85"/>
      <c r="AO78" s="85"/>
      <c r="AP78" s="85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5"/>
      <c r="BB78" s="85"/>
      <c r="BC78" s="85"/>
      <c r="BD78" s="85"/>
      <c r="BE78" s="85"/>
      <c r="BF78" s="85"/>
      <c r="BG78" s="85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>
        <v>2</v>
      </c>
      <c r="CP78" s="86">
        <v>2</v>
      </c>
      <c r="CQ78" s="86">
        <v>2</v>
      </c>
      <c r="CR78" s="86">
        <v>2</v>
      </c>
      <c r="CS78" s="86">
        <v>2</v>
      </c>
      <c r="CT78" s="86">
        <v>2</v>
      </c>
      <c r="CU78" s="86">
        <v>2</v>
      </c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6"/>
      <c r="EI78" s="86"/>
      <c r="EJ78" s="86"/>
      <c r="EK78" s="86"/>
      <c r="EL78" s="86"/>
      <c r="EM78" s="86"/>
      <c r="EN78" s="86"/>
      <c r="EO78" s="8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  <c r="FJ78" s="86"/>
      <c r="FK78" s="86"/>
      <c r="FL78" s="86"/>
      <c r="FM78" s="86"/>
      <c r="FN78" s="86"/>
      <c r="FO78" s="86"/>
      <c r="FP78" s="86"/>
      <c r="FQ78" s="86"/>
      <c r="FR78" s="86"/>
      <c r="FS78" s="86"/>
      <c r="FT78" s="86"/>
      <c r="FU78" s="86"/>
      <c r="FV78" s="86"/>
      <c r="FW78" s="86"/>
      <c r="FX78" s="86"/>
      <c r="FY78" s="86"/>
      <c r="FZ78" s="86"/>
      <c r="GA78" s="86"/>
      <c r="GB78" s="86"/>
    </row>
    <row r="79" spans="1:184" ht="15" customHeight="1" outlineLevel="2">
      <c r="A79" s="173"/>
      <c r="B79" s="177" t="s">
        <v>421</v>
      </c>
      <c r="C79" s="171">
        <f t="shared" si="16"/>
        <v>46303</v>
      </c>
      <c r="D79" s="171">
        <f t="shared" si="9"/>
        <v>46303</v>
      </c>
      <c r="E79" s="172">
        <v>1</v>
      </c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6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>
        <v>2</v>
      </c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6"/>
      <c r="EI79" s="86"/>
      <c r="EJ79" s="86"/>
      <c r="EK79" s="86"/>
      <c r="EL79" s="86"/>
      <c r="EM79" s="86"/>
      <c r="EN79" s="86"/>
      <c r="EO79" s="8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  <c r="FJ79" s="86"/>
      <c r="FK79" s="86"/>
      <c r="FL79" s="86"/>
      <c r="FM79" s="86"/>
      <c r="FN79" s="86"/>
      <c r="FO79" s="86"/>
      <c r="FP79" s="86"/>
      <c r="FQ79" s="86"/>
      <c r="FR79" s="86"/>
      <c r="FS79" s="86"/>
      <c r="FT79" s="86"/>
      <c r="FU79" s="86"/>
      <c r="FV79" s="86"/>
      <c r="FW79" s="86"/>
      <c r="FX79" s="86"/>
      <c r="FY79" s="86"/>
      <c r="FZ79" s="86"/>
      <c r="GA79" s="86"/>
      <c r="GB79" s="86"/>
    </row>
    <row r="80" spans="1:184" ht="15" customHeight="1" outlineLevel="2">
      <c r="A80" s="173"/>
      <c r="B80" s="177" t="s">
        <v>422</v>
      </c>
      <c r="C80" s="171">
        <f t="shared" si="16"/>
        <v>46304</v>
      </c>
      <c r="D80" s="171">
        <f t="shared" si="9"/>
        <v>46306</v>
      </c>
      <c r="E80" s="172">
        <v>3</v>
      </c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6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>
        <v>2</v>
      </c>
      <c r="CX80" s="86">
        <v>2</v>
      </c>
      <c r="CY80" s="86">
        <v>2</v>
      </c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6"/>
      <c r="DT80" s="86"/>
      <c r="DU80" s="86"/>
      <c r="DV80" s="86"/>
      <c r="DW80" s="86"/>
      <c r="DX80" s="86"/>
      <c r="DY80" s="86"/>
      <c r="DZ80" s="86"/>
      <c r="EA80" s="86"/>
      <c r="EB80" s="86"/>
      <c r="EC80" s="86"/>
      <c r="ED80" s="86"/>
      <c r="EE80" s="86"/>
      <c r="EF80" s="86"/>
      <c r="EG80" s="86"/>
      <c r="EH80" s="86"/>
      <c r="EI80" s="86"/>
      <c r="EJ80" s="86"/>
      <c r="EK80" s="86"/>
      <c r="EL80" s="86"/>
      <c r="EM80" s="86"/>
      <c r="EN80" s="86"/>
      <c r="EO80" s="8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  <c r="FJ80" s="86"/>
      <c r="FK80" s="86"/>
      <c r="FL80" s="86"/>
      <c r="FM80" s="86"/>
      <c r="FN80" s="86"/>
      <c r="FO80" s="86"/>
      <c r="FP80" s="86"/>
      <c r="FQ80" s="86"/>
      <c r="FR80" s="86"/>
      <c r="FS80" s="86"/>
      <c r="FT80" s="86"/>
      <c r="FU80" s="86"/>
      <c r="FV80" s="86"/>
      <c r="FW80" s="86"/>
      <c r="FX80" s="86"/>
      <c r="FY80" s="86"/>
      <c r="FZ80" s="86"/>
      <c r="GA80" s="86"/>
      <c r="GB80" s="86"/>
    </row>
    <row r="81" spans="1:184" ht="15" customHeight="1" outlineLevel="2">
      <c r="A81" s="182"/>
      <c r="B81" s="177" t="s">
        <v>427</v>
      </c>
      <c r="C81" s="171">
        <f>D85-4</f>
        <v>46305</v>
      </c>
      <c r="D81" s="171">
        <f t="shared" ref="D81:D85" si="17">C81+E81</f>
        <v>46311</v>
      </c>
      <c r="E81" s="172">
        <v>6</v>
      </c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6"/>
      <c r="BL81" s="86"/>
      <c r="BM81" s="86"/>
      <c r="BN81" s="86"/>
      <c r="BO81" s="86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>
        <v>2</v>
      </c>
      <c r="CY81" s="86">
        <v>2</v>
      </c>
      <c r="CZ81" s="86">
        <v>2</v>
      </c>
      <c r="DA81" s="86">
        <v>2</v>
      </c>
      <c r="DB81" s="86">
        <v>2</v>
      </c>
      <c r="DC81" s="86">
        <v>3</v>
      </c>
      <c r="DD81" s="86">
        <v>2</v>
      </c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6"/>
      <c r="EI81" s="86"/>
      <c r="EJ81" s="86"/>
      <c r="EK81" s="86"/>
      <c r="EL81" s="86"/>
      <c r="EM81" s="86"/>
      <c r="EN81" s="86"/>
      <c r="EO81" s="8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  <c r="FJ81" s="86"/>
      <c r="FK81" s="86"/>
      <c r="FL81" s="86"/>
      <c r="FM81" s="86"/>
      <c r="FN81" s="86"/>
      <c r="FO81" s="86"/>
      <c r="FP81" s="86"/>
      <c r="FQ81" s="86"/>
      <c r="FR81" s="86"/>
      <c r="FS81" s="86"/>
      <c r="FT81" s="86"/>
      <c r="FU81" s="86"/>
      <c r="FV81" s="86"/>
      <c r="FW81" s="86"/>
      <c r="FX81" s="86"/>
      <c r="FY81" s="86"/>
      <c r="FZ81" s="86"/>
      <c r="GA81" s="86"/>
      <c r="GB81" s="86"/>
    </row>
    <row r="82" spans="1:184" ht="15" customHeight="1" outlineLevel="2">
      <c r="A82" s="183"/>
      <c r="B82" s="177" t="s">
        <v>428</v>
      </c>
      <c r="C82" s="171">
        <f t="shared" ref="C82:C85" si="18">D81+1</f>
        <v>46312</v>
      </c>
      <c r="D82" s="171">
        <f t="shared" si="17"/>
        <v>46315</v>
      </c>
      <c r="E82" s="172">
        <v>3</v>
      </c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>
        <v>2</v>
      </c>
      <c r="DF82" s="85">
        <v>2</v>
      </c>
      <c r="DG82" s="85">
        <v>3</v>
      </c>
      <c r="DH82" s="85">
        <v>3</v>
      </c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  <c r="FU82" s="85"/>
      <c r="FV82" s="85"/>
      <c r="FW82" s="85"/>
      <c r="FX82" s="85"/>
      <c r="FY82" s="85"/>
      <c r="FZ82" s="85"/>
      <c r="GA82" s="85"/>
      <c r="GB82" s="85"/>
    </row>
    <row r="83" spans="1:184" ht="15" customHeight="1" outlineLevel="2">
      <c r="A83" s="184" t="s">
        <v>423</v>
      </c>
      <c r="B83" s="177" t="s">
        <v>424</v>
      </c>
      <c r="C83" s="171">
        <f>D71+1</f>
        <v>46278</v>
      </c>
      <c r="D83" s="171">
        <f t="shared" si="17"/>
        <v>46279</v>
      </c>
      <c r="E83" s="172">
        <v>1</v>
      </c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6"/>
      <c r="BI83" s="86"/>
      <c r="BJ83" s="86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>
        <v>3</v>
      </c>
      <c r="BX83" s="85">
        <v>3</v>
      </c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6"/>
      <c r="EI83" s="86"/>
      <c r="EJ83" s="86"/>
      <c r="EK83" s="86"/>
      <c r="EL83" s="86"/>
      <c r="EM83" s="86"/>
      <c r="EN83" s="86"/>
      <c r="EO83" s="8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  <c r="FJ83" s="86"/>
      <c r="FK83" s="86"/>
      <c r="FL83" s="86"/>
      <c r="FM83" s="86"/>
      <c r="FN83" s="86"/>
      <c r="FO83" s="86"/>
      <c r="FP83" s="86"/>
      <c r="FQ83" s="86"/>
      <c r="FR83" s="86"/>
      <c r="FS83" s="86"/>
      <c r="FT83" s="86"/>
      <c r="FU83" s="86"/>
      <c r="FV83" s="86"/>
      <c r="FW83" s="86"/>
      <c r="FX83" s="86"/>
      <c r="FY83" s="86"/>
      <c r="FZ83" s="86"/>
      <c r="GA83" s="86"/>
      <c r="GB83" s="86"/>
    </row>
    <row r="84" spans="1:184" ht="15" customHeight="1" outlineLevel="2">
      <c r="A84" s="185"/>
      <c r="B84" s="177" t="s">
        <v>425</v>
      </c>
      <c r="C84" s="171">
        <f t="shared" si="18"/>
        <v>46280</v>
      </c>
      <c r="D84" s="171">
        <f t="shared" si="17"/>
        <v>46295</v>
      </c>
      <c r="E84" s="172">
        <v>15</v>
      </c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6"/>
      <c r="BQ84" s="86"/>
      <c r="BR84" s="86"/>
      <c r="BS84" s="86"/>
      <c r="BT84" s="86"/>
      <c r="BU84" s="86"/>
      <c r="BV84" s="86"/>
      <c r="BW84" s="85"/>
      <c r="BX84" s="85"/>
      <c r="BY84" s="85">
        <v>5</v>
      </c>
      <c r="BZ84" s="85">
        <v>5</v>
      </c>
      <c r="CA84" s="85">
        <v>5</v>
      </c>
      <c r="CB84" s="85">
        <v>5</v>
      </c>
      <c r="CC84" s="85">
        <v>5</v>
      </c>
      <c r="CD84" s="85">
        <v>5</v>
      </c>
      <c r="CE84" s="85">
        <v>5</v>
      </c>
      <c r="CF84" s="85">
        <v>5</v>
      </c>
      <c r="CG84" s="86">
        <v>5</v>
      </c>
      <c r="CH84" s="86">
        <v>5</v>
      </c>
      <c r="CI84" s="86">
        <v>5</v>
      </c>
      <c r="CJ84" s="86">
        <v>5</v>
      </c>
      <c r="CK84" s="86">
        <v>5</v>
      </c>
      <c r="CL84" s="86">
        <v>5</v>
      </c>
      <c r="CM84" s="86">
        <v>5</v>
      </c>
      <c r="CN84" s="86">
        <v>5</v>
      </c>
      <c r="CO84" s="86"/>
      <c r="CP84" s="86"/>
      <c r="CQ84" s="86"/>
      <c r="CR84" s="86"/>
      <c r="CS84" s="86"/>
      <c r="CT84" s="86"/>
      <c r="CU84" s="86"/>
      <c r="CV84" s="86"/>
      <c r="CW84" s="86"/>
      <c r="CX84" s="86"/>
      <c r="CY84" s="86"/>
      <c r="CZ84" s="86"/>
      <c r="DA84" s="86"/>
      <c r="DB84" s="86"/>
      <c r="DC84" s="86"/>
      <c r="DD84" s="86"/>
      <c r="DE84" s="86"/>
      <c r="DF84" s="86"/>
      <c r="DG84" s="86"/>
      <c r="DH84" s="86"/>
      <c r="DI84" s="86"/>
      <c r="DJ84" s="86"/>
      <c r="DK84" s="86"/>
      <c r="DL84" s="86"/>
      <c r="DM84" s="86"/>
      <c r="DN84" s="86"/>
      <c r="DO84" s="86"/>
      <c r="DP84" s="86"/>
      <c r="DQ84" s="86"/>
      <c r="DR84" s="86"/>
      <c r="DS84" s="86"/>
      <c r="DT84" s="86"/>
      <c r="DU84" s="86"/>
      <c r="DV84" s="86"/>
      <c r="DW84" s="86"/>
      <c r="DX84" s="86"/>
      <c r="DY84" s="86"/>
      <c r="DZ84" s="86"/>
      <c r="EA84" s="86"/>
      <c r="EB84" s="86"/>
      <c r="EC84" s="86"/>
      <c r="ED84" s="86"/>
      <c r="EE84" s="86"/>
      <c r="EF84" s="86"/>
      <c r="EG84" s="86"/>
      <c r="EH84" s="86"/>
      <c r="EI84" s="86"/>
      <c r="EJ84" s="86"/>
      <c r="EK84" s="86"/>
      <c r="EL84" s="86"/>
      <c r="EM84" s="86"/>
      <c r="EN84" s="86"/>
      <c r="EO84" s="8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  <c r="FJ84" s="86"/>
      <c r="FK84" s="86"/>
      <c r="FL84" s="86"/>
      <c r="FM84" s="86"/>
      <c r="FN84" s="86"/>
      <c r="FO84" s="86"/>
      <c r="FP84" s="86"/>
      <c r="FQ84" s="86"/>
      <c r="FR84" s="86"/>
      <c r="FS84" s="86"/>
      <c r="FT84" s="86"/>
      <c r="FU84" s="86"/>
      <c r="FV84" s="86"/>
      <c r="FW84" s="86"/>
      <c r="FX84" s="86"/>
      <c r="FY84" s="86"/>
      <c r="FZ84" s="86"/>
      <c r="GA84" s="86"/>
      <c r="GB84" s="86"/>
    </row>
    <row r="85" spans="1:184" ht="15" customHeight="1" outlineLevel="2">
      <c r="A85" s="185"/>
      <c r="B85" s="177" t="s">
        <v>426</v>
      </c>
      <c r="C85" s="171">
        <f t="shared" si="18"/>
        <v>46296</v>
      </c>
      <c r="D85" s="171">
        <f t="shared" si="17"/>
        <v>46309</v>
      </c>
      <c r="E85" s="172">
        <v>13</v>
      </c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>
        <v>5</v>
      </c>
      <c r="CP85" s="85">
        <v>5</v>
      </c>
      <c r="CQ85" s="85">
        <v>5</v>
      </c>
      <c r="CR85" s="85">
        <v>5</v>
      </c>
      <c r="CS85" s="85">
        <v>5</v>
      </c>
      <c r="CT85" s="85">
        <v>5</v>
      </c>
      <c r="CU85" s="85">
        <v>5</v>
      </c>
      <c r="CV85" s="85">
        <v>5</v>
      </c>
      <c r="CW85" s="85">
        <v>5</v>
      </c>
      <c r="CX85" s="85">
        <v>5</v>
      </c>
      <c r="CY85" s="85">
        <v>5</v>
      </c>
      <c r="CZ85" s="85">
        <v>5</v>
      </c>
      <c r="DA85" s="85">
        <v>5</v>
      </c>
      <c r="DB85" s="85">
        <v>5</v>
      </c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  <c r="FU85" s="85"/>
      <c r="FV85" s="85"/>
      <c r="FW85" s="85"/>
      <c r="FX85" s="85"/>
      <c r="FY85" s="85"/>
      <c r="FZ85" s="85"/>
      <c r="GA85" s="85"/>
      <c r="GB85" s="85"/>
    </row>
    <row r="86" spans="1:184" ht="15" customHeight="1" outlineLevel="2">
      <c r="A86" s="184" t="s">
        <v>435</v>
      </c>
      <c r="B86" s="177" t="s">
        <v>436</v>
      </c>
      <c r="C86" s="171" t="s">
        <v>437</v>
      </c>
      <c r="D86" s="171">
        <v>46280</v>
      </c>
      <c r="E86" s="172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5"/>
      <c r="AZ86" s="85"/>
      <c r="BA86" s="85"/>
      <c r="BB86" s="85"/>
      <c r="BC86" s="85"/>
      <c r="BD86" s="85"/>
      <c r="BE86" s="85"/>
      <c r="BF86" s="85"/>
      <c r="BG86" s="86"/>
      <c r="BH86" s="86"/>
      <c r="BI86" s="86"/>
      <c r="BJ86" s="86"/>
      <c r="BK86" s="86"/>
      <c r="BL86" s="86"/>
      <c r="BM86" s="86"/>
      <c r="BN86" s="86"/>
      <c r="BO86" s="86"/>
      <c r="BP86" s="85"/>
      <c r="BQ86" s="85"/>
      <c r="BR86" s="85"/>
      <c r="BS86" s="85"/>
      <c r="BT86" s="85"/>
      <c r="BU86" s="85"/>
      <c r="BV86" s="85"/>
      <c r="BW86" s="85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6"/>
      <c r="DJ86" s="86"/>
      <c r="DK86" s="86"/>
      <c r="DL86" s="86"/>
      <c r="DM86" s="86"/>
      <c r="DN86" s="86"/>
      <c r="DO86" s="86"/>
      <c r="DP86" s="86"/>
      <c r="DQ86" s="86"/>
      <c r="DR86" s="86"/>
      <c r="DS86" s="86"/>
      <c r="DT86" s="86"/>
      <c r="DU86" s="86"/>
      <c r="DV86" s="86"/>
      <c r="DW86" s="86"/>
      <c r="DX86" s="86"/>
      <c r="DY86" s="86"/>
      <c r="DZ86" s="86"/>
      <c r="EA86" s="86"/>
      <c r="EB86" s="86"/>
      <c r="EC86" s="86"/>
      <c r="ED86" s="86"/>
      <c r="EE86" s="86"/>
      <c r="EF86" s="86"/>
      <c r="EG86" s="86"/>
      <c r="EH86" s="86"/>
      <c r="EI86" s="86"/>
      <c r="EJ86" s="86"/>
      <c r="EK86" s="86"/>
      <c r="EL86" s="86"/>
      <c r="EM86" s="86"/>
      <c r="EN86" s="86"/>
      <c r="EO86" s="8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  <c r="FJ86" s="86"/>
      <c r="FK86" s="86"/>
      <c r="FL86" s="86"/>
      <c r="FM86" s="86"/>
      <c r="FN86" s="86"/>
      <c r="FO86" s="86"/>
      <c r="FP86" s="86"/>
      <c r="FQ86" s="86"/>
      <c r="FR86" s="86"/>
      <c r="FS86" s="86"/>
      <c r="FT86" s="86"/>
      <c r="FU86" s="86"/>
      <c r="FV86" s="86"/>
      <c r="FW86" s="86"/>
      <c r="FX86" s="86"/>
      <c r="FY86" s="86"/>
      <c r="FZ86" s="86"/>
      <c r="GA86" s="86"/>
      <c r="GB86" s="86"/>
    </row>
    <row r="87" spans="1:184" ht="14.4" customHeight="1" outlineLevel="2">
      <c r="A87" s="186"/>
      <c r="B87" s="177" t="s">
        <v>438</v>
      </c>
      <c r="C87" s="171">
        <f t="shared" ref="C87:C89" si="19">D86+1</f>
        <v>46281</v>
      </c>
      <c r="D87" s="171">
        <f>C87+E87-1</f>
        <v>46315</v>
      </c>
      <c r="E87" s="172">
        <v>35</v>
      </c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5"/>
      <c r="AZ87" s="85"/>
      <c r="BA87" s="85"/>
      <c r="BB87" s="85"/>
      <c r="BC87" s="85"/>
      <c r="BD87" s="85"/>
      <c r="BE87" s="85"/>
      <c r="BF87" s="85"/>
      <c r="BG87" s="86"/>
      <c r="BH87" s="86"/>
      <c r="BI87" s="86"/>
      <c r="BJ87" s="86"/>
      <c r="BK87" s="86"/>
      <c r="BL87" s="86"/>
      <c r="BM87" s="86"/>
      <c r="BN87" s="86"/>
      <c r="BO87" s="86"/>
      <c r="BP87" s="85"/>
      <c r="BQ87" s="85"/>
      <c r="BR87" s="85"/>
      <c r="BS87" s="85"/>
      <c r="BT87" s="85"/>
      <c r="BU87" s="85"/>
      <c r="BV87" s="85"/>
      <c r="BW87" s="85"/>
      <c r="BX87" s="86"/>
      <c r="BY87" s="86"/>
      <c r="BZ87" s="86">
        <v>2</v>
      </c>
      <c r="CA87" s="86">
        <v>2</v>
      </c>
      <c r="CB87" s="86">
        <v>2</v>
      </c>
      <c r="CC87" s="86">
        <v>2</v>
      </c>
      <c r="CD87" s="86">
        <v>2</v>
      </c>
      <c r="CE87" s="86">
        <v>2</v>
      </c>
      <c r="CF87" s="86">
        <v>2</v>
      </c>
      <c r="CG87" s="86">
        <v>2</v>
      </c>
      <c r="CH87" s="86">
        <v>2</v>
      </c>
      <c r="CI87" s="86">
        <v>2</v>
      </c>
      <c r="CJ87" s="86">
        <v>2</v>
      </c>
      <c r="CK87" s="86">
        <v>2</v>
      </c>
      <c r="CL87" s="86">
        <v>2</v>
      </c>
      <c r="CM87" s="86">
        <v>2</v>
      </c>
      <c r="CN87" s="86">
        <v>2</v>
      </c>
      <c r="CO87" s="86">
        <v>2</v>
      </c>
      <c r="CP87" s="86">
        <v>2</v>
      </c>
      <c r="CQ87" s="86">
        <v>2</v>
      </c>
      <c r="CR87" s="86">
        <v>2</v>
      </c>
      <c r="CS87" s="86">
        <v>2</v>
      </c>
      <c r="CT87" s="86">
        <v>2</v>
      </c>
      <c r="CU87" s="86">
        <v>2</v>
      </c>
      <c r="CV87" s="86">
        <v>2</v>
      </c>
      <c r="CW87" s="86">
        <v>2</v>
      </c>
      <c r="CX87" s="86">
        <v>2</v>
      </c>
      <c r="CY87" s="86">
        <v>2</v>
      </c>
      <c r="CZ87" s="86">
        <v>2</v>
      </c>
      <c r="DA87" s="86">
        <v>2</v>
      </c>
      <c r="DB87" s="86">
        <v>2</v>
      </c>
      <c r="DC87" s="86">
        <v>2</v>
      </c>
      <c r="DD87" s="86">
        <v>2</v>
      </c>
      <c r="DE87" s="86">
        <v>2</v>
      </c>
      <c r="DF87" s="86">
        <v>2</v>
      </c>
      <c r="DG87" s="86">
        <v>2</v>
      </c>
      <c r="DH87" s="86">
        <v>2</v>
      </c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6"/>
      <c r="EI87" s="86"/>
      <c r="EJ87" s="86"/>
      <c r="EK87" s="86"/>
      <c r="EL87" s="86"/>
      <c r="EM87" s="86"/>
      <c r="EN87" s="86"/>
      <c r="EO87" s="8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  <c r="FJ87" s="86"/>
      <c r="FK87" s="86"/>
      <c r="FL87" s="86"/>
      <c r="FM87" s="86"/>
      <c r="FN87" s="86"/>
      <c r="FO87" s="86"/>
      <c r="FP87" s="86"/>
      <c r="FQ87" s="86"/>
      <c r="FR87" s="86"/>
      <c r="FS87" s="86"/>
      <c r="FT87" s="86"/>
      <c r="FU87" s="86"/>
      <c r="FV87" s="86"/>
      <c r="FW87" s="86"/>
      <c r="FX87" s="86"/>
      <c r="FY87" s="86"/>
      <c r="FZ87" s="86"/>
      <c r="GA87" s="86"/>
      <c r="GB87" s="86"/>
    </row>
    <row r="88" spans="1:184" ht="14.4" customHeight="1" outlineLevel="2">
      <c r="A88" s="186"/>
      <c r="B88" s="177" t="s">
        <v>439</v>
      </c>
      <c r="C88" s="171">
        <f t="shared" si="19"/>
        <v>46316</v>
      </c>
      <c r="D88" s="171">
        <f t="shared" ref="D88:D93" si="20">C88+E88</f>
        <v>46337</v>
      </c>
      <c r="E88" s="172">
        <v>21</v>
      </c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5"/>
      <c r="AZ88" s="85"/>
      <c r="BA88" s="85"/>
      <c r="BB88" s="85"/>
      <c r="BC88" s="85"/>
      <c r="BD88" s="85"/>
      <c r="BE88" s="85"/>
      <c r="BF88" s="85"/>
      <c r="BG88" s="86"/>
      <c r="BH88" s="86"/>
      <c r="BI88" s="86"/>
      <c r="BJ88" s="86"/>
      <c r="BK88" s="86"/>
      <c r="BL88" s="86"/>
      <c r="BM88" s="86"/>
      <c r="BN88" s="86"/>
      <c r="BO88" s="86"/>
      <c r="BP88" s="85"/>
      <c r="BQ88" s="85"/>
      <c r="BR88" s="85"/>
      <c r="BS88" s="85"/>
      <c r="BT88" s="85"/>
      <c r="BU88" s="85"/>
      <c r="BV88" s="85"/>
      <c r="BW88" s="85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>
        <v>2</v>
      </c>
      <c r="DJ88" s="86">
        <v>4</v>
      </c>
      <c r="DK88" s="86">
        <v>4</v>
      </c>
      <c r="DL88" s="86">
        <v>4</v>
      </c>
      <c r="DM88" s="86">
        <v>4</v>
      </c>
      <c r="DN88" s="86">
        <v>8</v>
      </c>
      <c r="DO88" s="86">
        <v>8</v>
      </c>
      <c r="DP88" s="86">
        <v>8</v>
      </c>
      <c r="DQ88" s="86">
        <v>2</v>
      </c>
      <c r="DR88" s="86">
        <v>2</v>
      </c>
      <c r="DS88" s="86">
        <v>2</v>
      </c>
      <c r="DT88" s="86">
        <v>2</v>
      </c>
      <c r="DU88" s="86">
        <v>2</v>
      </c>
      <c r="DV88" s="86">
        <v>2</v>
      </c>
      <c r="DW88" s="86">
        <v>2</v>
      </c>
      <c r="DX88" s="86">
        <v>2</v>
      </c>
      <c r="DY88" s="86">
        <v>2</v>
      </c>
      <c r="DZ88" s="86">
        <v>2</v>
      </c>
      <c r="EA88" s="86">
        <v>2</v>
      </c>
      <c r="EB88" s="86">
        <v>2</v>
      </c>
      <c r="EC88" s="86">
        <v>2</v>
      </c>
      <c r="ED88" s="86">
        <v>2</v>
      </c>
      <c r="EE88" s="86"/>
      <c r="EF88" s="86"/>
      <c r="EG88" s="86"/>
      <c r="EH88" s="86"/>
      <c r="EI88" s="86"/>
      <c r="EJ88" s="86"/>
      <c r="EK88" s="86"/>
      <c r="EL88" s="86"/>
      <c r="EM88" s="86"/>
      <c r="EN88" s="86"/>
      <c r="EO88" s="8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  <c r="FJ88" s="86"/>
      <c r="FK88" s="86"/>
      <c r="FL88" s="86"/>
      <c r="FM88" s="86"/>
      <c r="FN88" s="86"/>
      <c r="FO88" s="86"/>
      <c r="FP88" s="86"/>
      <c r="FQ88" s="86"/>
      <c r="FR88" s="86"/>
      <c r="FS88" s="86"/>
      <c r="FT88" s="86"/>
      <c r="FU88" s="86"/>
      <c r="FV88" s="86"/>
      <c r="FW88" s="86"/>
      <c r="FX88" s="86"/>
      <c r="FY88" s="86"/>
      <c r="FZ88" s="86"/>
      <c r="GA88" s="86"/>
      <c r="GB88" s="86"/>
    </row>
    <row r="89" spans="1:184" ht="14.4" customHeight="1" outlineLevel="2">
      <c r="A89" s="184"/>
      <c r="B89" s="177" t="s">
        <v>440</v>
      </c>
      <c r="C89" s="171">
        <f t="shared" si="19"/>
        <v>46338</v>
      </c>
      <c r="D89" s="171">
        <f>C89+E89-1</f>
        <v>46377</v>
      </c>
      <c r="E89" s="172">
        <v>40</v>
      </c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5"/>
      <c r="AZ89" s="85"/>
      <c r="BA89" s="85"/>
      <c r="BB89" s="85"/>
      <c r="BC89" s="85"/>
      <c r="BD89" s="85"/>
      <c r="BE89" s="85"/>
      <c r="BF89" s="85"/>
      <c r="BG89" s="86"/>
      <c r="BH89" s="86"/>
      <c r="BI89" s="86"/>
      <c r="BJ89" s="86"/>
      <c r="BK89" s="86"/>
      <c r="BL89" s="86"/>
      <c r="BM89" s="86"/>
      <c r="BN89" s="86"/>
      <c r="BO89" s="86"/>
      <c r="BP89" s="85"/>
      <c r="BQ89" s="85"/>
      <c r="BR89" s="85"/>
      <c r="BS89" s="85"/>
      <c r="BT89" s="85"/>
      <c r="BU89" s="85"/>
      <c r="BV89" s="85"/>
      <c r="BW89" s="85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86"/>
      <c r="CY89" s="86"/>
      <c r="CZ89" s="86"/>
      <c r="DA89" s="86"/>
      <c r="DB89" s="86"/>
      <c r="DC89" s="86"/>
      <c r="DD89" s="86"/>
      <c r="DE89" s="86"/>
      <c r="DF89" s="86"/>
      <c r="DG89" s="86"/>
      <c r="DH89" s="86"/>
      <c r="DI89" s="86"/>
      <c r="DJ89" s="86"/>
      <c r="DK89" s="86"/>
      <c r="DL89" s="86"/>
      <c r="DM89" s="86"/>
      <c r="DN89" s="86"/>
      <c r="DO89" s="86"/>
      <c r="DP89" s="86"/>
      <c r="DQ89" s="86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86">
        <v>2</v>
      </c>
      <c r="EF89" s="86">
        <v>2</v>
      </c>
      <c r="EG89" s="86">
        <v>2</v>
      </c>
      <c r="EH89" s="86">
        <v>2</v>
      </c>
      <c r="EI89" s="86">
        <v>2</v>
      </c>
      <c r="EJ89" s="86">
        <v>2</v>
      </c>
      <c r="EK89" s="86">
        <v>2</v>
      </c>
      <c r="EL89" s="86">
        <v>2</v>
      </c>
      <c r="EM89" s="86">
        <v>2</v>
      </c>
      <c r="EN89" s="86">
        <v>2</v>
      </c>
      <c r="EO89" s="86">
        <v>2</v>
      </c>
      <c r="EP89" s="86">
        <v>2</v>
      </c>
      <c r="EQ89" s="86">
        <v>2</v>
      </c>
      <c r="ER89" s="86">
        <v>2</v>
      </c>
      <c r="ES89" s="86">
        <v>2</v>
      </c>
      <c r="ET89" s="86">
        <v>2</v>
      </c>
      <c r="EU89" s="86">
        <v>2</v>
      </c>
      <c r="EV89" s="86">
        <v>2</v>
      </c>
      <c r="EW89" s="86">
        <v>2</v>
      </c>
      <c r="EX89" s="86">
        <v>2</v>
      </c>
      <c r="EY89" s="86">
        <v>2</v>
      </c>
      <c r="EZ89" s="86">
        <v>2</v>
      </c>
      <c r="FA89" s="86">
        <v>2</v>
      </c>
      <c r="FB89" s="86">
        <v>2</v>
      </c>
      <c r="FC89" s="86">
        <v>2</v>
      </c>
      <c r="FD89" s="86">
        <v>2</v>
      </c>
      <c r="FE89" s="86">
        <v>2</v>
      </c>
      <c r="FF89" s="86">
        <v>2</v>
      </c>
      <c r="FG89" s="86">
        <v>2</v>
      </c>
      <c r="FH89" s="86">
        <v>2</v>
      </c>
      <c r="FI89" s="86">
        <v>2</v>
      </c>
      <c r="FJ89" s="86">
        <v>2</v>
      </c>
      <c r="FK89" s="86">
        <v>2</v>
      </c>
      <c r="FL89" s="86">
        <v>2</v>
      </c>
      <c r="FM89" s="86">
        <v>2</v>
      </c>
      <c r="FN89" s="86">
        <v>2</v>
      </c>
      <c r="FO89" s="86">
        <v>2</v>
      </c>
      <c r="FP89" s="86">
        <v>2</v>
      </c>
      <c r="FQ89" s="86">
        <v>2</v>
      </c>
      <c r="FR89" s="86">
        <v>2</v>
      </c>
      <c r="FS89" s="86"/>
      <c r="FT89" s="86"/>
      <c r="FU89" s="86"/>
      <c r="FV89" s="86"/>
      <c r="FW89" s="86"/>
      <c r="FX89" s="86"/>
      <c r="FY89" s="86"/>
      <c r="FZ89" s="86"/>
      <c r="GA89" s="86"/>
      <c r="GB89" s="86"/>
    </row>
    <row r="90" spans="1:184" ht="14.4" customHeight="1" outlineLevel="2">
      <c r="A90" s="187" t="s">
        <v>429</v>
      </c>
      <c r="B90" s="188" t="s">
        <v>430</v>
      </c>
      <c r="C90" s="171">
        <f>C88+8</f>
        <v>46324</v>
      </c>
      <c r="D90" s="171">
        <f t="shared" si="20"/>
        <v>46338</v>
      </c>
      <c r="E90" s="172">
        <v>14</v>
      </c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5"/>
      <c r="AZ90" s="85"/>
      <c r="BA90" s="85"/>
      <c r="BB90" s="85"/>
      <c r="BC90" s="85"/>
      <c r="BD90" s="85"/>
      <c r="BE90" s="85"/>
      <c r="BF90" s="85"/>
      <c r="BG90" s="86"/>
      <c r="BH90" s="86"/>
      <c r="BI90" s="86"/>
      <c r="BJ90" s="86"/>
      <c r="BK90" s="86"/>
      <c r="BL90" s="86"/>
      <c r="BM90" s="86"/>
      <c r="BN90" s="86"/>
      <c r="BO90" s="86"/>
      <c r="BP90" s="85"/>
      <c r="BQ90" s="85"/>
      <c r="BR90" s="85"/>
      <c r="BS90" s="85"/>
      <c r="BT90" s="85"/>
      <c r="BU90" s="85"/>
      <c r="BV90" s="85"/>
      <c r="BW90" s="85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86"/>
      <c r="CY90" s="86"/>
      <c r="CZ90" s="86"/>
      <c r="DA90" s="86"/>
      <c r="DB90" s="86"/>
      <c r="DC90" s="86"/>
      <c r="DD90" s="86"/>
      <c r="DE90" s="86"/>
      <c r="DF90" s="86"/>
      <c r="DG90" s="86"/>
      <c r="DH90" s="86"/>
      <c r="DI90" s="86"/>
      <c r="DJ90" s="86"/>
      <c r="DK90" s="86"/>
      <c r="DL90" s="86"/>
      <c r="DM90" s="86"/>
      <c r="DN90" s="86"/>
      <c r="DO90" s="86"/>
      <c r="DP90" s="86"/>
      <c r="DQ90" s="86">
        <v>6</v>
      </c>
      <c r="DR90" s="86">
        <v>6</v>
      </c>
      <c r="DS90" s="86">
        <v>6</v>
      </c>
      <c r="DT90" s="86">
        <v>6</v>
      </c>
      <c r="DU90" s="86">
        <v>6</v>
      </c>
      <c r="DV90" s="86">
        <v>6</v>
      </c>
      <c r="DW90" s="86">
        <v>6</v>
      </c>
      <c r="DX90" s="86">
        <v>4</v>
      </c>
      <c r="DY90" s="86">
        <v>4</v>
      </c>
      <c r="DZ90" s="86">
        <v>4</v>
      </c>
      <c r="EA90" s="86">
        <v>4</v>
      </c>
      <c r="EB90" s="86">
        <v>4</v>
      </c>
      <c r="EC90" s="86">
        <v>4</v>
      </c>
      <c r="ED90" s="86">
        <v>4</v>
      </c>
      <c r="EE90" s="86">
        <v>4</v>
      </c>
      <c r="EF90" s="86"/>
      <c r="EG90" s="86"/>
      <c r="EH90" s="86"/>
      <c r="EI90" s="86"/>
      <c r="EJ90" s="86"/>
      <c r="EK90" s="86"/>
      <c r="EL90" s="86"/>
      <c r="EM90" s="86"/>
      <c r="EN90" s="86"/>
      <c r="EO90" s="8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  <c r="FJ90" s="86"/>
      <c r="FK90" s="86"/>
      <c r="FL90" s="86"/>
      <c r="FM90" s="86"/>
      <c r="FN90" s="86"/>
      <c r="FO90" s="86"/>
      <c r="FP90" s="86"/>
      <c r="FQ90" s="86"/>
      <c r="FR90" s="86"/>
      <c r="FS90" s="86"/>
      <c r="FT90" s="86"/>
      <c r="FU90" s="86"/>
      <c r="FV90" s="86"/>
      <c r="FW90" s="86"/>
      <c r="FX90" s="86"/>
      <c r="FY90" s="86"/>
      <c r="FZ90" s="86"/>
      <c r="GA90" s="86"/>
      <c r="GB90" s="86"/>
    </row>
    <row r="91" spans="1:184" ht="15" customHeight="1" outlineLevel="2">
      <c r="A91" s="187"/>
      <c r="B91" s="188" t="s">
        <v>431</v>
      </c>
      <c r="C91" s="171">
        <f>C88+15</f>
        <v>46331</v>
      </c>
      <c r="D91" s="171">
        <f t="shared" si="20"/>
        <v>46338</v>
      </c>
      <c r="E91" s="172">
        <v>7</v>
      </c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5"/>
      <c r="AZ91" s="85"/>
      <c r="BA91" s="85"/>
      <c r="BB91" s="85"/>
      <c r="BC91" s="85"/>
      <c r="BD91" s="85"/>
      <c r="BE91" s="85"/>
      <c r="BF91" s="85"/>
      <c r="BG91" s="86"/>
      <c r="BH91" s="86"/>
      <c r="BI91" s="86"/>
      <c r="BJ91" s="86"/>
      <c r="BK91" s="86"/>
      <c r="BL91" s="86"/>
      <c r="BM91" s="86"/>
      <c r="BN91" s="86"/>
      <c r="BO91" s="86"/>
      <c r="BP91" s="85"/>
      <c r="BQ91" s="85"/>
      <c r="BR91" s="85"/>
      <c r="BS91" s="85"/>
      <c r="BT91" s="85"/>
      <c r="BU91" s="85"/>
      <c r="BV91" s="85"/>
      <c r="BW91" s="85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86"/>
      <c r="CY91" s="86"/>
      <c r="CZ91" s="86"/>
      <c r="DA91" s="86"/>
      <c r="DB91" s="86"/>
      <c r="DC91" s="86"/>
      <c r="DD91" s="86"/>
      <c r="DE91" s="86"/>
      <c r="DF91" s="86"/>
      <c r="DG91" s="86"/>
      <c r="DH91" s="86"/>
      <c r="DI91" s="86"/>
      <c r="DJ91" s="86"/>
      <c r="DK91" s="86"/>
      <c r="DL91" s="86"/>
      <c r="DM91" s="86"/>
      <c r="DN91" s="86"/>
      <c r="DO91" s="86"/>
      <c r="DP91" s="86"/>
      <c r="DQ91" s="86"/>
      <c r="DR91" s="86"/>
      <c r="DS91" s="86"/>
      <c r="DT91" s="86"/>
      <c r="DU91" s="86"/>
      <c r="DV91" s="86"/>
      <c r="DW91" s="86"/>
      <c r="DX91" s="86">
        <v>2</v>
      </c>
      <c r="DY91" s="86">
        <v>2</v>
      </c>
      <c r="DZ91" s="86">
        <v>2</v>
      </c>
      <c r="EA91" s="86">
        <v>2</v>
      </c>
      <c r="EB91" s="86">
        <v>2</v>
      </c>
      <c r="EC91" s="86">
        <v>2</v>
      </c>
      <c r="ED91" s="86">
        <v>2</v>
      </c>
      <c r="EE91" s="86">
        <v>2</v>
      </c>
      <c r="EF91" s="86"/>
      <c r="EG91" s="86"/>
      <c r="EH91" s="86"/>
      <c r="EI91" s="86"/>
      <c r="EJ91" s="86"/>
      <c r="EK91" s="86"/>
      <c r="EL91" s="86"/>
      <c r="EM91" s="86"/>
      <c r="EN91" s="86"/>
      <c r="EO91" s="8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  <c r="FJ91" s="86"/>
      <c r="FK91" s="86"/>
      <c r="FL91" s="86"/>
      <c r="FM91" s="86"/>
      <c r="FN91" s="86"/>
      <c r="FO91" s="86"/>
      <c r="FP91" s="86"/>
      <c r="FQ91" s="86"/>
      <c r="FR91" s="86"/>
      <c r="FS91" s="86"/>
      <c r="FT91" s="86"/>
      <c r="FU91" s="86"/>
      <c r="FV91" s="86"/>
      <c r="FW91" s="86"/>
      <c r="FX91" s="86"/>
      <c r="FY91" s="86"/>
      <c r="FZ91" s="86"/>
      <c r="GA91" s="86"/>
      <c r="GB91" s="86"/>
    </row>
    <row r="92" spans="1:184" outlineLevel="2">
      <c r="A92" s="187"/>
      <c r="B92" s="188" t="s">
        <v>432</v>
      </c>
      <c r="C92" s="171">
        <f t="shared" ref="C92:C94" si="21">D91+1</f>
        <v>46339</v>
      </c>
      <c r="D92" s="171">
        <f t="shared" si="20"/>
        <v>46369</v>
      </c>
      <c r="E92" s="172">
        <v>30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82"/>
      <c r="AZ92" s="82"/>
      <c r="BA92" s="82"/>
      <c r="BB92" s="82"/>
      <c r="BC92" s="82"/>
      <c r="BD92" s="82"/>
      <c r="BE92" s="82"/>
      <c r="BF92" s="82"/>
      <c r="BG92" s="4"/>
      <c r="BH92" s="4"/>
      <c r="BI92" s="4"/>
      <c r="BJ92" s="4"/>
      <c r="BK92" s="4"/>
      <c r="BL92" s="4"/>
      <c r="BM92" s="4"/>
      <c r="BN92" s="4"/>
      <c r="BO92" s="4"/>
      <c r="BP92" s="82"/>
      <c r="BQ92" s="82"/>
      <c r="BR92" s="82"/>
      <c r="BS92" s="82"/>
      <c r="BT92" s="82"/>
      <c r="BU92" s="82"/>
      <c r="BV92" s="82"/>
      <c r="BW92" s="82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>
        <v>2</v>
      </c>
      <c r="EG92" s="4">
        <v>2</v>
      </c>
      <c r="EH92" s="4">
        <v>2</v>
      </c>
      <c r="EI92" s="4">
        <v>2</v>
      </c>
      <c r="EJ92" s="4">
        <v>2</v>
      </c>
      <c r="EK92" s="4">
        <v>2</v>
      </c>
      <c r="EL92" s="4">
        <v>2</v>
      </c>
      <c r="EM92" s="4">
        <v>2</v>
      </c>
      <c r="EN92" s="4">
        <v>2</v>
      </c>
      <c r="EO92" s="4">
        <v>2</v>
      </c>
      <c r="EP92" s="4">
        <v>2</v>
      </c>
      <c r="EQ92" s="4">
        <v>2</v>
      </c>
      <c r="ER92" s="4">
        <v>2</v>
      </c>
      <c r="ES92" s="4">
        <v>2</v>
      </c>
      <c r="ET92" s="4">
        <v>2</v>
      </c>
      <c r="EU92" s="4">
        <v>2</v>
      </c>
      <c r="EV92" s="4">
        <v>2</v>
      </c>
      <c r="EW92" s="4">
        <v>2</v>
      </c>
      <c r="EX92" s="4">
        <v>2</v>
      </c>
      <c r="EY92" s="4">
        <v>2</v>
      </c>
      <c r="EZ92" s="4">
        <v>2</v>
      </c>
      <c r="FA92" s="4">
        <v>2</v>
      </c>
      <c r="FB92" s="4">
        <v>2</v>
      </c>
      <c r="FC92" s="4">
        <v>2</v>
      </c>
      <c r="FD92" s="4">
        <v>2</v>
      </c>
      <c r="FE92" s="4">
        <v>2</v>
      </c>
      <c r="FF92" s="4">
        <v>2</v>
      </c>
      <c r="FG92" s="4">
        <v>2</v>
      </c>
      <c r="FH92" s="4">
        <v>2</v>
      </c>
      <c r="FI92" s="4">
        <v>2</v>
      </c>
      <c r="FJ92" s="4">
        <v>2</v>
      </c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</row>
    <row r="93" spans="1:184" outlineLevel="2">
      <c r="A93" s="189"/>
      <c r="B93" s="188" t="s">
        <v>433</v>
      </c>
      <c r="C93" s="171">
        <f t="shared" si="21"/>
        <v>46370</v>
      </c>
      <c r="D93" s="171">
        <f t="shared" si="20"/>
        <v>46377</v>
      </c>
      <c r="E93" s="172">
        <v>7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82"/>
      <c r="AZ93" s="82"/>
      <c r="BA93" s="82"/>
      <c r="BB93" s="82"/>
      <c r="BC93" s="82"/>
      <c r="BD93" s="82"/>
      <c r="BE93" s="82"/>
      <c r="BF93" s="82"/>
      <c r="BG93" s="4"/>
      <c r="BH93" s="4"/>
      <c r="BI93" s="4"/>
      <c r="BJ93" s="4"/>
      <c r="BK93" s="4"/>
      <c r="BL93" s="4"/>
      <c r="BM93" s="4"/>
      <c r="BN93" s="4"/>
      <c r="BO93" s="4"/>
      <c r="BP93" s="82"/>
      <c r="BQ93" s="82"/>
      <c r="BR93" s="82"/>
      <c r="BS93" s="82"/>
      <c r="BT93" s="82"/>
      <c r="BU93" s="82"/>
      <c r="BV93" s="82"/>
      <c r="BW93" s="82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>
        <v>2</v>
      </c>
      <c r="FL93" s="4">
        <v>2</v>
      </c>
      <c r="FM93" s="4">
        <v>2</v>
      </c>
      <c r="FN93" s="4">
        <v>2</v>
      </c>
      <c r="FO93" s="4">
        <v>2</v>
      </c>
      <c r="FP93" s="4">
        <v>2</v>
      </c>
      <c r="FQ93" s="4">
        <v>2</v>
      </c>
      <c r="FR93" s="4">
        <v>2</v>
      </c>
      <c r="FS93" s="4"/>
      <c r="FT93" s="4"/>
      <c r="FU93" s="4"/>
      <c r="FV93" s="4"/>
      <c r="FW93" s="4"/>
      <c r="FX93" s="4"/>
      <c r="FY93" s="4"/>
      <c r="FZ93" s="4"/>
      <c r="GA93" s="4"/>
      <c r="GB93" s="4"/>
    </row>
    <row r="94" spans="1:184" outlineLevel="2">
      <c r="A94" s="190"/>
      <c r="B94" s="191" t="s">
        <v>434</v>
      </c>
      <c r="C94" s="192">
        <f t="shared" si="21"/>
        <v>46378</v>
      </c>
      <c r="D94" s="192">
        <f>C94+E94-1</f>
        <v>46378</v>
      </c>
      <c r="E94" s="193">
        <v>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82"/>
      <c r="AZ94" s="82"/>
      <c r="BA94" s="82"/>
      <c r="BB94" s="82"/>
      <c r="BC94" s="82"/>
      <c r="BD94" s="82"/>
      <c r="BE94" s="82"/>
      <c r="BF94" s="82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82"/>
      <c r="BT94" s="82"/>
      <c r="BU94" s="82"/>
      <c r="BV94" s="82"/>
      <c r="BW94" s="82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>
        <v>4</v>
      </c>
      <c r="FT94" s="4"/>
      <c r="FU94" s="4"/>
      <c r="FV94" s="4"/>
      <c r="FW94" s="4"/>
      <c r="FX94" s="4"/>
      <c r="FY94" s="4"/>
      <c r="FZ94" s="4"/>
      <c r="GA94" s="4"/>
      <c r="GB94" s="4"/>
    </row>
    <row r="95" spans="1:184" outlineLevel="2">
      <c r="A95" s="159"/>
      <c r="F95" s="2">
        <f t="shared" ref="F95:AK95" si="22">SUM(F16:F94)</f>
        <v>0</v>
      </c>
      <c r="G95" s="2">
        <f t="shared" si="22"/>
        <v>0</v>
      </c>
      <c r="H95" s="2">
        <f t="shared" si="22"/>
        <v>0</v>
      </c>
      <c r="I95" s="2">
        <f t="shared" si="22"/>
        <v>0</v>
      </c>
      <c r="J95" s="2">
        <f t="shared" si="22"/>
        <v>0</v>
      </c>
      <c r="K95" s="2">
        <f t="shared" si="22"/>
        <v>0</v>
      </c>
      <c r="L95" s="2">
        <f t="shared" si="22"/>
        <v>0</v>
      </c>
      <c r="M95" s="2">
        <f t="shared" si="22"/>
        <v>0</v>
      </c>
      <c r="N95" s="2">
        <f t="shared" si="22"/>
        <v>0</v>
      </c>
      <c r="O95" s="2">
        <f t="shared" si="22"/>
        <v>0</v>
      </c>
      <c r="P95" s="2">
        <f t="shared" si="22"/>
        <v>0</v>
      </c>
      <c r="Q95" s="2">
        <f t="shared" si="22"/>
        <v>0</v>
      </c>
      <c r="R95" s="2">
        <f t="shared" si="22"/>
        <v>0</v>
      </c>
      <c r="S95" s="2">
        <f t="shared" si="22"/>
        <v>0</v>
      </c>
      <c r="T95" s="2">
        <f t="shared" si="22"/>
        <v>0</v>
      </c>
      <c r="U95" s="2">
        <f t="shared" si="22"/>
        <v>0</v>
      </c>
      <c r="V95" s="2">
        <f t="shared" si="22"/>
        <v>0</v>
      </c>
      <c r="W95" s="2">
        <f t="shared" si="22"/>
        <v>0</v>
      </c>
      <c r="X95" s="2">
        <f t="shared" si="22"/>
        <v>0</v>
      </c>
      <c r="Y95" s="2">
        <f t="shared" si="22"/>
        <v>0</v>
      </c>
      <c r="Z95" s="2">
        <f t="shared" si="22"/>
        <v>0</v>
      </c>
      <c r="AA95" s="2">
        <f t="shared" si="22"/>
        <v>0</v>
      </c>
      <c r="AB95" s="2">
        <f t="shared" si="22"/>
        <v>0</v>
      </c>
      <c r="AC95" s="2">
        <f t="shared" si="22"/>
        <v>0</v>
      </c>
      <c r="AD95" s="2">
        <f t="shared" si="22"/>
        <v>0</v>
      </c>
      <c r="AE95" s="2">
        <f t="shared" si="22"/>
        <v>0</v>
      </c>
      <c r="AF95" s="2">
        <f t="shared" si="22"/>
        <v>0</v>
      </c>
      <c r="AG95" s="2">
        <f t="shared" si="22"/>
        <v>0</v>
      </c>
      <c r="AH95" s="2">
        <f t="shared" si="22"/>
        <v>0</v>
      </c>
      <c r="AI95" s="2">
        <f t="shared" si="22"/>
        <v>0</v>
      </c>
      <c r="AJ95" s="2">
        <f t="shared" si="22"/>
        <v>0</v>
      </c>
      <c r="AK95" s="2">
        <f t="shared" si="22"/>
        <v>0</v>
      </c>
      <c r="AL95" s="2">
        <f t="shared" ref="AL95:BQ95" si="23">SUM(AL16:AL94)</f>
        <v>0</v>
      </c>
      <c r="AM95" s="2">
        <f t="shared" si="23"/>
        <v>0</v>
      </c>
      <c r="AN95" s="2">
        <f t="shared" si="23"/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2">
        <f t="shared" si="23"/>
        <v>0</v>
      </c>
      <c r="AS95" s="2">
        <f t="shared" si="23"/>
        <v>0</v>
      </c>
      <c r="AT95" s="2">
        <f t="shared" si="23"/>
        <v>0</v>
      </c>
      <c r="AU95" s="2">
        <f t="shared" si="23"/>
        <v>0</v>
      </c>
      <c r="AV95" s="2">
        <f t="shared" si="23"/>
        <v>0</v>
      </c>
      <c r="AW95" s="2">
        <f t="shared" si="23"/>
        <v>0</v>
      </c>
      <c r="AX95" s="2">
        <f t="shared" si="23"/>
        <v>0</v>
      </c>
      <c r="AY95" s="2">
        <f t="shared" si="23"/>
        <v>0</v>
      </c>
      <c r="AZ95" s="2">
        <f t="shared" si="23"/>
        <v>6</v>
      </c>
      <c r="BA95" s="2">
        <f t="shared" si="23"/>
        <v>8</v>
      </c>
      <c r="BB95" s="2">
        <f t="shared" si="23"/>
        <v>6</v>
      </c>
      <c r="BC95" s="2">
        <f t="shared" si="23"/>
        <v>0</v>
      </c>
      <c r="BD95" s="2">
        <f t="shared" si="23"/>
        <v>0</v>
      </c>
      <c r="BE95" s="2">
        <f t="shared" si="23"/>
        <v>0</v>
      </c>
      <c r="BF95" s="2">
        <f t="shared" si="23"/>
        <v>0</v>
      </c>
      <c r="BG95" s="2">
        <f t="shared" si="23"/>
        <v>0</v>
      </c>
      <c r="BH95" s="2">
        <f t="shared" si="23"/>
        <v>0</v>
      </c>
      <c r="BI95" s="2">
        <f t="shared" si="23"/>
        <v>6</v>
      </c>
      <c r="BJ95" s="2">
        <f t="shared" si="23"/>
        <v>6</v>
      </c>
      <c r="BK95" s="2">
        <f t="shared" si="23"/>
        <v>5</v>
      </c>
      <c r="BL95" s="2">
        <f t="shared" si="23"/>
        <v>5</v>
      </c>
      <c r="BM95" s="2">
        <f t="shared" si="23"/>
        <v>5</v>
      </c>
      <c r="BN95" s="2">
        <f t="shared" si="23"/>
        <v>5</v>
      </c>
      <c r="BO95" s="2">
        <f t="shared" si="23"/>
        <v>5</v>
      </c>
      <c r="BP95" s="2">
        <f t="shared" si="23"/>
        <v>5</v>
      </c>
      <c r="BQ95" s="2">
        <f t="shared" si="23"/>
        <v>5</v>
      </c>
      <c r="BR95" s="2">
        <f t="shared" ref="BR95:CW95" si="24">SUM(BR16:BR94)</f>
        <v>14</v>
      </c>
      <c r="BS95" s="2">
        <f t="shared" si="24"/>
        <v>16</v>
      </c>
      <c r="BT95" s="2">
        <f t="shared" si="24"/>
        <v>16</v>
      </c>
      <c r="BU95" s="2">
        <f t="shared" si="24"/>
        <v>16</v>
      </c>
      <c r="BV95" s="2">
        <f t="shared" si="24"/>
        <v>16</v>
      </c>
      <c r="BW95" s="2">
        <f t="shared" si="24"/>
        <v>19</v>
      </c>
      <c r="BX95" s="2">
        <f t="shared" si="24"/>
        <v>19</v>
      </c>
      <c r="BY95" s="2">
        <f t="shared" si="24"/>
        <v>21</v>
      </c>
      <c r="BZ95" s="2">
        <f t="shared" si="24"/>
        <v>23</v>
      </c>
      <c r="CA95" s="2">
        <f t="shared" si="24"/>
        <v>23</v>
      </c>
      <c r="CB95" s="2">
        <f t="shared" si="24"/>
        <v>27</v>
      </c>
      <c r="CC95" s="2">
        <f t="shared" si="24"/>
        <v>27</v>
      </c>
      <c r="CD95" s="2">
        <f t="shared" si="24"/>
        <v>29</v>
      </c>
      <c r="CE95" s="2">
        <f t="shared" si="24"/>
        <v>29</v>
      </c>
      <c r="CF95" s="2">
        <f t="shared" si="24"/>
        <v>29</v>
      </c>
      <c r="CG95" s="2">
        <f t="shared" si="24"/>
        <v>35</v>
      </c>
      <c r="CH95" s="2">
        <f t="shared" si="24"/>
        <v>32</v>
      </c>
      <c r="CI95" s="2">
        <f t="shared" si="24"/>
        <v>32</v>
      </c>
      <c r="CJ95" s="2">
        <f t="shared" si="24"/>
        <v>27</v>
      </c>
      <c r="CK95" s="2">
        <f t="shared" si="24"/>
        <v>27</v>
      </c>
      <c r="CL95" s="2">
        <f t="shared" si="24"/>
        <v>25</v>
      </c>
      <c r="CM95" s="2">
        <f t="shared" si="24"/>
        <v>25</v>
      </c>
      <c r="CN95" s="2">
        <f t="shared" si="24"/>
        <v>28</v>
      </c>
      <c r="CO95" s="2">
        <f t="shared" si="24"/>
        <v>28</v>
      </c>
      <c r="CP95" s="2">
        <f t="shared" si="24"/>
        <v>28</v>
      </c>
      <c r="CQ95" s="2">
        <f t="shared" si="24"/>
        <v>29</v>
      </c>
      <c r="CR95" s="2">
        <f t="shared" si="24"/>
        <v>30</v>
      </c>
      <c r="CS95" s="2">
        <f t="shared" si="24"/>
        <v>23</v>
      </c>
      <c r="CT95" s="2">
        <f t="shared" si="24"/>
        <v>23</v>
      </c>
      <c r="CU95" s="2">
        <f t="shared" si="24"/>
        <v>23</v>
      </c>
      <c r="CV95" s="2">
        <f t="shared" si="24"/>
        <v>19</v>
      </c>
      <c r="CW95" s="2">
        <f t="shared" si="24"/>
        <v>19</v>
      </c>
      <c r="CX95" s="2">
        <f t="shared" ref="CX95:EC95" si="25">SUM(CX16:CX94)</f>
        <v>21</v>
      </c>
      <c r="CY95" s="2">
        <f t="shared" si="25"/>
        <v>21</v>
      </c>
      <c r="CZ95" s="2">
        <f t="shared" si="25"/>
        <v>17</v>
      </c>
      <c r="DA95" s="2">
        <f t="shared" si="25"/>
        <v>16</v>
      </c>
      <c r="DB95" s="2">
        <f t="shared" si="25"/>
        <v>16</v>
      </c>
      <c r="DC95" s="2">
        <f t="shared" si="25"/>
        <v>12</v>
      </c>
      <c r="DD95" s="2">
        <f t="shared" si="25"/>
        <v>12</v>
      </c>
      <c r="DE95" s="2">
        <f t="shared" si="25"/>
        <v>12</v>
      </c>
      <c r="DF95" s="2">
        <f t="shared" si="25"/>
        <v>12</v>
      </c>
      <c r="DG95" s="2">
        <f t="shared" si="25"/>
        <v>12</v>
      </c>
      <c r="DH95" s="2">
        <f t="shared" si="25"/>
        <v>12</v>
      </c>
      <c r="DI95" s="2">
        <f t="shared" si="25"/>
        <v>9</v>
      </c>
      <c r="DJ95" s="2">
        <f t="shared" si="25"/>
        <v>8</v>
      </c>
      <c r="DK95" s="2">
        <f t="shared" si="25"/>
        <v>8</v>
      </c>
      <c r="DL95" s="2">
        <f t="shared" si="25"/>
        <v>8</v>
      </c>
      <c r="DM95" s="2">
        <f t="shared" si="25"/>
        <v>8</v>
      </c>
      <c r="DN95" s="2">
        <f t="shared" si="25"/>
        <v>8</v>
      </c>
      <c r="DO95" s="2">
        <f t="shared" si="25"/>
        <v>8</v>
      </c>
      <c r="DP95" s="2">
        <f t="shared" si="25"/>
        <v>8</v>
      </c>
      <c r="DQ95" s="2">
        <f t="shared" si="25"/>
        <v>8</v>
      </c>
      <c r="DR95" s="2">
        <f t="shared" si="25"/>
        <v>8</v>
      </c>
      <c r="DS95" s="2">
        <f t="shared" si="25"/>
        <v>8</v>
      </c>
      <c r="DT95" s="2">
        <f t="shared" si="25"/>
        <v>8</v>
      </c>
      <c r="DU95" s="2">
        <f t="shared" si="25"/>
        <v>8</v>
      </c>
      <c r="DV95" s="2">
        <f t="shared" si="25"/>
        <v>8</v>
      </c>
      <c r="DW95" s="2">
        <f t="shared" si="25"/>
        <v>8</v>
      </c>
      <c r="DX95" s="2">
        <f t="shared" si="25"/>
        <v>8</v>
      </c>
      <c r="DY95" s="2">
        <f t="shared" si="25"/>
        <v>8</v>
      </c>
      <c r="DZ95" s="2">
        <f t="shared" si="25"/>
        <v>8</v>
      </c>
      <c r="EA95" s="2">
        <f t="shared" si="25"/>
        <v>8</v>
      </c>
      <c r="EB95" s="2">
        <f t="shared" si="25"/>
        <v>8</v>
      </c>
      <c r="EC95" s="2">
        <f t="shared" si="25"/>
        <v>8</v>
      </c>
      <c r="ED95" s="2">
        <f t="shared" ref="ED95:EM95" si="26">SUM(ED16:ED94)</f>
        <v>8</v>
      </c>
      <c r="EE95" s="2">
        <f t="shared" si="26"/>
        <v>8</v>
      </c>
      <c r="EF95" s="2">
        <f t="shared" si="26"/>
        <v>4</v>
      </c>
      <c r="EG95" s="2">
        <f t="shared" si="26"/>
        <v>4</v>
      </c>
      <c r="EH95" s="2">
        <f t="shared" si="26"/>
        <v>4</v>
      </c>
      <c r="EI95" s="2">
        <f t="shared" si="26"/>
        <v>4</v>
      </c>
      <c r="EJ95" s="2">
        <f t="shared" si="26"/>
        <v>4</v>
      </c>
      <c r="EK95" s="2">
        <f t="shared" si="26"/>
        <v>4</v>
      </c>
      <c r="EL95" s="2">
        <f t="shared" si="26"/>
        <v>4</v>
      </c>
      <c r="EM95" s="2">
        <f t="shared" si="26"/>
        <v>4</v>
      </c>
    </row>
    <row r="96" spans="1:184" ht="15.65" customHeight="1">
      <c r="A96" s="87" t="s">
        <v>112</v>
      </c>
    </row>
    <row r="97" spans="1:143" outlineLevel="1">
      <c r="A97" s="88">
        <v>1</v>
      </c>
      <c r="B97" s="89" t="s">
        <v>113</v>
      </c>
      <c r="C97" s="90">
        <v>46193</v>
      </c>
      <c r="D97" s="90">
        <v>46216</v>
      </c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</row>
    <row r="98" spans="1:143" outlineLevel="1">
      <c r="A98" s="92">
        <v>2</v>
      </c>
      <c r="B98" s="93" t="s">
        <v>114</v>
      </c>
      <c r="C98" s="94">
        <v>46267</v>
      </c>
      <c r="D98" s="94">
        <v>46272</v>
      </c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</row>
    <row r="99" spans="1:143" outlineLevel="1">
      <c r="A99" s="92">
        <v>3</v>
      </c>
      <c r="B99" s="93" t="s">
        <v>115</v>
      </c>
      <c r="C99" s="94">
        <v>46267</v>
      </c>
      <c r="D99" s="94">
        <v>46270</v>
      </c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</row>
    <row r="100" spans="1:143" outlineLevel="1">
      <c r="A100" s="92">
        <v>4</v>
      </c>
      <c r="B100" s="93" t="s">
        <v>116</v>
      </c>
      <c r="C100" s="94">
        <v>46270</v>
      </c>
      <c r="D100" s="94">
        <v>46279</v>
      </c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</row>
    <row r="101" spans="1:143" outlineLevel="1">
      <c r="A101" s="95">
        <v>5</v>
      </c>
      <c r="B101" s="96" t="s">
        <v>117</v>
      </c>
      <c r="C101" s="97">
        <v>46277</v>
      </c>
      <c r="D101" s="97">
        <v>46278</v>
      </c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</row>
    <row r="102" spans="1:143" outlineLevel="1">
      <c r="A102" s="95">
        <v>6</v>
      </c>
      <c r="B102" s="96" t="s">
        <v>118</v>
      </c>
      <c r="C102" s="97">
        <v>46243</v>
      </c>
      <c r="D102" s="97">
        <v>46245</v>
      </c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</row>
    <row r="103" spans="1:143" outlineLevel="1">
      <c r="A103" s="95">
        <v>7</v>
      </c>
      <c r="B103" s="96" t="s">
        <v>354</v>
      </c>
      <c r="C103" s="97">
        <v>46246</v>
      </c>
      <c r="D103" s="97">
        <v>46257</v>
      </c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</row>
    <row r="104" spans="1:143" ht="15" customHeight="1" outlineLevel="1">
      <c r="A104" s="98">
        <v>8</v>
      </c>
      <c r="B104" s="99" t="s">
        <v>119</v>
      </c>
      <c r="C104" s="100">
        <v>46255</v>
      </c>
      <c r="D104" s="100">
        <v>46255</v>
      </c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</row>
    <row r="105" spans="1:143" ht="15" customHeight="1" outlineLevel="1">
      <c r="A105" s="98">
        <v>9</v>
      </c>
      <c r="B105" s="99" t="s">
        <v>355</v>
      </c>
      <c r="C105" s="100">
        <v>46256</v>
      </c>
      <c r="D105" s="100">
        <v>46257</v>
      </c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</row>
    <row r="106" spans="1:143" s="39" customFormat="1" ht="21" customHeight="1" outlineLevel="1">
      <c r="A106" s="92">
        <v>10</v>
      </c>
      <c r="B106" s="93" t="s">
        <v>120</v>
      </c>
      <c r="C106" s="94">
        <v>46275</v>
      </c>
      <c r="D106" s="94">
        <v>46277</v>
      </c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</row>
    <row r="107" spans="1:143" s="39" customFormat="1" ht="20.05" customHeight="1" outlineLevel="1">
      <c r="A107" s="92">
        <v>11</v>
      </c>
      <c r="B107" s="93" t="s">
        <v>121</v>
      </c>
      <c r="C107" s="94">
        <v>46266</v>
      </c>
      <c r="D107" s="94">
        <v>46275</v>
      </c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</row>
    <row r="108" spans="1:143" s="39" customFormat="1" ht="20.05" customHeight="1" outlineLevel="1">
      <c r="A108" s="21"/>
      <c r="C108" s="101"/>
      <c r="D108" s="101"/>
    </row>
    <row r="109" spans="1:143" s="39" customFormat="1" ht="21" customHeight="1" outlineLevel="1"/>
    <row r="110" spans="1:143" s="39" customFormat="1" ht="21" customHeight="1">
      <c r="A110" s="87" t="s">
        <v>122</v>
      </c>
    </row>
    <row r="111" spans="1:143" s="39" customFormat="1" ht="21" customHeight="1" outlineLevel="1">
      <c r="A111" s="102" t="s">
        <v>123</v>
      </c>
      <c r="B111" s="103"/>
      <c r="C111" s="103"/>
      <c r="D111" s="103"/>
      <c r="E111" s="10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1:143" s="39" customFormat="1" ht="20.05" customHeight="1" outlineLevel="1">
      <c r="A112" s="104" t="s">
        <v>124</v>
      </c>
      <c r="B112" s="105" t="s">
        <v>125</v>
      </c>
      <c r="C112" s="106">
        <v>46162</v>
      </c>
      <c r="D112" s="106">
        <v>46202</v>
      </c>
      <c r="E112" s="106"/>
      <c r="F112" s="107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91"/>
      <c r="EE112" s="91"/>
      <c r="EF112" s="91"/>
      <c r="EG112" s="91"/>
      <c r="EH112" s="91"/>
      <c r="EI112" s="91"/>
      <c r="EJ112" s="91"/>
      <c r="EK112" s="91"/>
      <c r="EL112" s="91"/>
      <c r="EM112" s="91"/>
    </row>
    <row r="113" spans="1:143" s="39" customFormat="1" ht="20.05" customHeight="1" outlineLevel="1">
      <c r="A113" s="108" t="s">
        <v>126</v>
      </c>
      <c r="B113" s="105"/>
      <c r="C113" s="106">
        <v>46162</v>
      </c>
      <c r="D113" s="106">
        <v>46202</v>
      </c>
      <c r="E113" s="106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</row>
    <row r="114" spans="1:143" s="39" customFormat="1" ht="20.05" customHeight="1" outlineLevel="1">
      <c r="A114" s="108" t="s">
        <v>127</v>
      </c>
      <c r="B114" s="105"/>
      <c r="C114" s="106">
        <v>46162</v>
      </c>
      <c r="D114" s="106">
        <v>46202</v>
      </c>
      <c r="E114" s="106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</row>
    <row r="115" spans="1:143" s="39" customFormat="1" ht="20.05" customHeight="1" outlineLevel="1">
      <c r="A115" s="104" t="s">
        <v>128</v>
      </c>
      <c r="B115" s="105" t="s">
        <v>129</v>
      </c>
      <c r="C115" s="106">
        <v>46162</v>
      </c>
      <c r="D115" s="106">
        <v>46213</v>
      </c>
      <c r="E115" s="106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</row>
    <row r="116" spans="1:143" s="39" customFormat="1" ht="20.05" customHeight="1" outlineLevel="1">
      <c r="A116" s="108" t="s">
        <v>130</v>
      </c>
      <c r="B116" s="105"/>
      <c r="C116" s="106">
        <v>46162</v>
      </c>
      <c r="D116" s="106">
        <v>46213</v>
      </c>
      <c r="E116" s="106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</row>
    <row r="117" spans="1:143" s="39" customFormat="1" ht="20.05" customHeight="1" outlineLevel="1">
      <c r="A117" s="108" t="s">
        <v>131</v>
      </c>
      <c r="B117" s="105"/>
      <c r="C117" s="106">
        <v>46162</v>
      </c>
      <c r="D117" s="106">
        <v>46213</v>
      </c>
      <c r="E117" s="106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</row>
    <row r="118" spans="1:143" s="39" customFormat="1" ht="20.05" customHeight="1" outlineLevel="1">
      <c r="A118" s="108" t="s">
        <v>132</v>
      </c>
      <c r="B118" s="105"/>
      <c r="C118" s="106">
        <v>46204</v>
      </c>
      <c r="D118" s="106">
        <v>46234</v>
      </c>
      <c r="E118" s="106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</row>
    <row r="119" spans="1:143" s="39" customFormat="1" ht="20.05" customHeight="1" outlineLevel="1">
      <c r="A119" s="104" t="s">
        <v>133</v>
      </c>
      <c r="B119" s="105" t="s">
        <v>134</v>
      </c>
      <c r="C119" s="106">
        <v>46174</v>
      </c>
      <c r="D119" s="106">
        <v>46251</v>
      </c>
      <c r="E119" s="106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DY119" s="91"/>
      <c r="DZ119" s="91"/>
      <c r="EA119" s="91"/>
      <c r="EB119" s="91"/>
      <c r="EC119" s="91"/>
      <c r="ED119" s="91"/>
      <c r="EE119" s="91"/>
      <c r="EF119" s="91"/>
      <c r="EG119" s="91"/>
      <c r="EH119" s="91"/>
      <c r="EI119" s="91"/>
      <c r="EJ119" s="91"/>
      <c r="EK119" s="91"/>
      <c r="EL119" s="91"/>
      <c r="EM119" s="91"/>
    </row>
    <row r="120" spans="1:143" s="39" customFormat="1" ht="20.05" customHeight="1" outlineLevel="1">
      <c r="A120" s="108" t="s">
        <v>135</v>
      </c>
      <c r="B120" s="105" t="s">
        <v>134</v>
      </c>
      <c r="C120" s="106">
        <v>46174</v>
      </c>
      <c r="D120" s="106">
        <v>46208</v>
      </c>
      <c r="E120" s="106"/>
      <c r="F120" s="107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DY120" s="91"/>
      <c r="DZ120" s="91"/>
      <c r="EA120" s="91"/>
      <c r="EB120" s="91"/>
      <c r="EC120" s="91"/>
      <c r="ED120" s="91"/>
      <c r="EE120" s="91"/>
      <c r="EF120" s="91"/>
      <c r="EG120" s="91"/>
      <c r="EH120" s="91"/>
      <c r="EI120" s="91"/>
      <c r="EJ120" s="91"/>
      <c r="EK120" s="91"/>
      <c r="EL120" s="91"/>
      <c r="EM120" s="91"/>
    </row>
    <row r="121" spans="1:143" s="39" customFormat="1" ht="20.05" customHeight="1" outlineLevel="1">
      <c r="A121" s="108" t="s">
        <v>136</v>
      </c>
      <c r="B121" s="105" t="s">
        <v>134</v>
      </c>
      <c r="C121" s="106">
        <v>46228</v>
      </c>
      <c r="D121" s="106">
        <v>46235</v>
      </c>
      <c r="E121" s="106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DY121" s="91"/>
      <c r="DZ121" s="91"/>
      <c r="EA121" s="91"/>
      <c r="EB121" s="91"/>
      <c r="EC121" s="91"/>
      <c r="ED121" s="91"/>
      <c r="EE121" s="91"/>
      <c r="EF121" s="91"/>
      <c r="EG121" s="91"/>
      <c r="EH121" s="91"/>
      <c r="EI121" s="91"/>
      <c r="EJ121" s="91"/>
      <c r="EK121" s="91"/>
      <c r="EL121" s="91"/>
      <c r="EM121" s="91"/>
    </row>
    <row r="122" spans="1:143" s="39" customFormat="1" ht="20.05" customHeight="1" outlineLevel="1">
      <c r="A122" s="108" t="s">
        <v>137</v>
      </c>
      <c r="B122" s="105" t="s">
        <v>134</v>
      </c>
      <c r="C122" s="106">
        <v>46236</v>
      </c>
      <c r="D122" s="106">
        <v>46251</v>
      </c>
      <c r="E122" s="106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DY122" s="91"/>
      <c r="DZ122" s="91"/>
      <c r="EA122" s="91"/>
      <c r="EB122" s="91"/>
      <c r="EC122" s="91"/>
      <c r="ED122" s="91"/>
      <c r="EE122" s="91"/>
      <c r="EF122" s="91"/>
      <c r="EG122" s="91"/>
      <c r="EH122" s="91"/>
      <c r="EI122" s="91"/>
      <c r="EJ122" s="91"/>
      <c r="EK122" s="91"/>
      <c r="EL122" s="91"/>
      <c r="EM122" s="91"/>
    </row>
    <row r="123" spans="1:143" s="39" customFormat="1" ht="20.05" customHeight="1" outlineLevel="1">
      <c r="A123" s="104" t="s">
        <v>138</v>
      </c>
      <c r="B123" s="105" t="s">
        <v>139</v>
      </c>
      <c r="C123" s="106">
        <v>46236</v>
      </c>
      <c r="D123" s="106">
        <v>46251</v>
      </c>
      <c r="E123" s="106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DY123" s="91"/>
      <c r="DZ123" s="91"/>
      <c r="EA123" s="91"/>
      <c r="EB123" s="91"/>
      <c r="EC123" s="91"/>
      <c r="ED123" s="91"/>
      <c r="EE123" s="91"/>
      <c r="EF123" s="91"/>
      <c r="EG123" s="91"/>
      <c r="EH123" s="91"/>
      <c r="EI123" s="91"/>
      <c r="EJ123" s="91"/>
      <c r="EK123" s="91"/>
      <c r="EL123" s="91"/>
      <c r="EM123" s="91"/>
    </row>
    <row r="124" spans="1:143" s="39" customFormat="1" ht="20.05" customHeight="1" outlineLevel="1">
      <c r="A124" s="104" t="s">
        <v>140</v>
      </c>
      <c r="B124" s="105" t="s">
        <v>141</v>
      </c>
      <c r="C124" s="106">
        <v>46196</v>
      </c>
      <c r="D124" s="106">
        <v>46202</v>
      </c>
      <c r="E124" s="106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DY124" s="91"/>
      <c r="DZ124" s="91"/>
      <c r="EA124" s="91"/>
      <c r="EB124" s="91"/>
      <c r="EC124" s="91"/>
      <c r="ED124" s="91"/>
      <c r="EE124" s="91"/>
      <c r="EF124" s="91"/>
      <c r="EG124" s="91"/>
      <c r="EH124" s="91"/>
      <c r="EI124" s="91"/>
      <c r="EJ124" s="91"/>
      <c r="EK124" s="91"/>
      <c r="EL124" s="91"/>
      <c r="EM124" s="91"/>
    </row>
    <row r="125" spans="1:143" s="39" customFormat="1" ht="29.8" customHeight="1" outlineLevel="1">
      <c r="A125" s="108" t="s">
        <v>142</v>
      </c>
      <c r="B125" s="105"/>
      <c r="C125" s="106"/>
      <c r="D125" s="106"/>
      <c r="E125" s="106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DY125" s="91"/>
      <c r="DZ125" s="91"/>
      <c r="EA125" s="91"/>
      <c r="EB125" s="91"/>
      <c r="EC125" s="91"/>
      <c r="ED125" s="91"/>
      <c r="EE125" s="91"/>
      <c r="EF125" s="91"/>
      <c r="EG125" s="91"/>
      <c r="EH125" s="91"/>
      <c r="EI125" s="91"/>
      <c r="EJ125" s="91"/>
      <c r="EK125" s="91"/>
      <c r="EL125" s="91"/>
      <c r="EM125" s="91"/>
    </row>
    <row r="126" spans="1:143" s="39" customFormat="1" ht="20.05" customHeight="1" outlineLevel="1">
      <c r="A126" s="108" t="s">
        <v>143</v>
      </c>
      <c r="B126" s="105"/>
      <c r="C126" s="106"/>
      <c r="D126" s="106"/>
      <c r="E126" s="106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DY126" s="91"/>
      <c r="DZ126" s="91"/>
      <c r="EA126" s="91"/>
      <c r="EB126" s="91"/>
      <c r="EC126" s="91"/>
      <c r="ED126" s="91"/>
      <c r="EE126" s="91"/>
      <c r="EF126" s="91"/>
      <c r="EG126" s="91"/>
      <c r="EH126" s="91"/>
      <c r="EI126" s="91"/>
      <c r="EJ126" s="91"/>
      <c r="EK126" s="91"/>
      <c r="EL126" s="91"/>
      <c r="EM126" s="91"/>
    </row>
    <row r="127" spans="1:143" s="39" customFormat="1" ht="20.05" customHeight="1" outlineLevel="1">
      <c r="A127" s="104" t="s">
        <v>144</v>
      </c>
      <c r="B127" s="105" t="s">
        <v>145</v>
      </c>
      <c r="C127" s="106">
        <v>46196</v>
      </c>
      <c r="D127" s="106">
        <v>46202</v>
      </c>
      <c r="E127" s="106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DY127" s="91"/>
      <c r="DZ127" s="91"/>
      <c r="EA127" s="91"/>
      <c r="EB127" s="91"/>
      <c r="EC127" s="91"/>
      <c r="ED127" s="91"/>
      <c r="EE127" s="91"/>
      <c r="EF127" s="91"/>
      <c r="EG127" s="91"/>
      <c r="EH127" s="91"/>
      <c r="EI127" s="91"/>
      <c r="EJ127" s="91"/>
      <c r="EK127" s="91"/>
      <c r="EL127" s="91"/>
      <c r="EM127" s="91"/>
    </row>
    <row r="128" spans="1:143" s="39" customFormat="1" ht="20.05" customHeight="1" outlineLevel="1">
      <c r="A128" s="108" t="s">
        <v>146</v>
      </c>
      <c r="B128" s="105"/>
      <c r="C128" s="106"/>
      <c r="D128" s="106"/>
      <c r="E128" s="106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1"/>
      <c r="EE128" s="91"/>
      <c r="EF128" s="91"/>
      <c r="EG128" s="91"/>
      <c r="EH128" s="91"/>
      <c r="EI128" s="91"/>
      <c r="EJ128" s="91"/>
      <c r="EK128" s="91"/>
      <c r="EL128" s="91"/>
      <c r="EM128" s="91"/>
    </row>
    <row r="129" spans="1:143" s="39" customFormat="1" ht="20.05" customHeight="1" outlineLevel="1">
      <c r="A129" s="108" t="s">
        <v>147</v>
      </c>
      <c r="B129" s="105"/>
      <c r="C129" s="106"/>
      <c r="D129" s="106"/>
      <c r="E129" s="106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DY129" s="91"/>
      <c r="DZ129" s="91"/>
      <c r="EA129" s="91"/>
      <c r="EB129" s="91"/>
      <c r="EC129" s="91"/>
      <c r="ED129" s="91"/>
      <c r="EE129" s="91"/>
      <c r="EF129" s="91"/>
      <c r="EG129" s="91"/>
      <c r="EH129" s="91"/>
      <c r="EI129" s="91"/>
      <c r="EJ129" s="91"/>
      <c r="EK129" s="91"/>
      <c r="EL129" s="91"/>
      <c r="EM129" s="91"/>
    </row>
    <row r="130" spans="1:143" s="39" customFormat="1" ht="20.05" customHeight="1" outlineLevel="1">
      <c r="A130" s="108" t="s">
        <v>148</v>
      </c>
      <c r="B130" s="105"/>
      <c r="C130" s="106"/>
      <c r="D130" s="106"/>
      <c r="E130" s="109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</row>
    <row r="131" spans="1:143" s="39" customFormat="1" ht="20.05" customHeight="1" outlineLevel="1">
      <c r="A131" s="104" t="s">
        <v>149</v>
      </c>
      <c r="B131" s="105" t="s">
        <v>150</v>
      </c>
      <c r="C131" s="106">
        <v>46196</v>
      </c>
      <c r="D131" s="106">
        <v>46217</v>
      </c>
      <c r="E131" s="106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DY131" s="91"/>
      <c r="DZ131" s="91"/>
      <c r="EA131" s="91"/>
      <c r="EB131" s="91"/>
      <c r="EC131" s="91"/>
      <c r="ED131" s="91"/>
      <c r="EE131" s="91"/>
      <c r="EF131" s="91"/>
      <c r="EG131" s="91"/>
      <c r="EH131" s="91"/>
      <c r="EI131" s="91"/>
      <c r="EJ131" s="91"/>
      <c r="EK131" s="91"/>
      <c r="EL131" s="91"/>
      <c r="EM131" s="91"/>
    </row>
    <row r="132" spans="1:143" s="39" customFormat="1" ht="21" customHeight="1" outlineLevel="1">
      <c r="A132" s="102" t="s">
        <v>151</v>
      </c>
      <c r="B132" s="103"/>
      <c r="C132" s="103"/>
      <c r="D132" s="103"/>
      <c r="E132" s="10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spans="1:143" s="39" customFormat="1" ht="20.05" customHeight="1" outlineLevel="1">
      <c r="A133" s="104" t="s">
        <v>152</v>
      </c>
      <c r="B133" s="105" t="s">
        <v>153</v>
      </c>
      <c r="C133" s="106"/>
      <c r="D133" s="106"/>
      <c r="E133" s="106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</row>
    <row r="134" spans="1:143" s="39" customFormat="1" ht="20.05" customHeight="1" outlineLevel="1">
      <c r="A134" s="104" t="s">
        <v>154</v>
      </c>
      <c r="B134" s="105" t="s">
        <v>155</v>
      </c>
      <c r="C134" s="106">
        <v>46197</v>
      </c>
      <c r="D134" s="106">
        <v>46213</v>
      </c>
      <c r="E134" s="106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DY134" s="91"/>
      <c r="DZ134" s="91"/>
      <c r="EA134" s="91"/>
      <c r="EB134" s="91"/>
      <c r="EC134" s="91"/>
      <c r="ED134" s="91"/>
      <c r="EE134" s="91"/>
      <c r="EF134" s="91"/>
      <c r="EG134" s="91"/>
      <c r="EH134" s="91"/>
      <c r="EI134" s="91"/>
      <c r="EJ134" s="91"/>
      <c r="EK134" s="91"/>
      <c r="EL134" s="91"/>
      <c r="EM134" s="91"/>
    </row>
    <row r="135" spans="1:143" ht="18.55" customHeight="1" outlineLevel="1">
      <c r="A135" s="108" t="s">
        <v>156</v>
      </c>
      <c r="B135" s="105" t="s">
        <v>155</v>
      </c>
      <c r="C135" s="106">
        <v>46197</v>
      </c>
      <c r="D135" s="106">
        <v>46213</v>
      </c>
      <c r="E135" s="106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DY135" s="91"/>
      <c r="DZ135" s="91"/>
      <c r="EA135" s="91"/>
      <c r="EB135" s="91"/>
      <c r="EC135" s="91"/>
      <c r="ED135" s="91"/>
      <c r="EE135" s="91"/>
      <c r="EF135" s="91"/>
      <c r="EG135" s="91"/>
      <c r="EH135" s="91"/>
      <c r="EI135" s="91"/>
      <c r="EJ135" s="91"/>
      <c r="EK135" s="91"/>
      <c r="EL135" s="91"/>
      <c r="EM135" s="91"/>
    </row>
    <row r="136" spans="1:143" s="39" customFormat="1" ht="20.05" customHeight="1" outlineLevel="1">
      <c r="A136" s="108" t="s">
        <v>157</v>
      </c>
      <c r="B136" s="105" t="s">
        <v>155</v>
      </c>
      <c r="C136" s="106">
        <v>46197</v>
      </c>
      <c r="D136" s="106">
        <v>46213</v>
      </c>
      <c r="E136" s="106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</row>
    <row r="137" spans="1:143" s="39" customFormat="1" ht="20.05" customHeight="1" outlineLevel="1">
      <c r="A137" s="108" t="s">
        <v>158</v>
      </c>
      <c r="B137" s="105" t="s">
        <v>155</v>
      </c>
      <c r="C137" s="106">
        <v>46197</v>
      </c>
      <c r="D137" s="106">
        <v>46213</v>
      </c>
      <c r="E137" s="106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</row>
    <row r="138" spans="1:143" s="39" customFormat="1" ht="20.05" customHeight="1" outlineLevel="1">
      <c r="A138" s="108" t="s">
        <v>159</v>
      </c>
      <c r="B138" s="105" t="s">
        <v>160</v>
      </c>
      <c r="C138" s="106">
        <v>46198</v>
      </c>
      <c r="D138" s="106">
        <v>46249</v>
      </c>
      <c r="E138" s="106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DY138" s="91"/>
      <c r="DZ138" s="91"/>
      <c r="EA138" s="91"/>
      <c r="EB138" s="91"/>
      <c r="EC138" s="91"/>
      <c r="ED138" s="91"/>
      <c r="EE138" s="91"/>
      <c r="EF138" s="91"/>
      <c r="EG138" s="91"/>
      <c r="EH138" s="91"/>
      <c r="EI138" s="91"/>
      <c r="EJ138" s="91"/>
      <c r="EK138" s="91"/>
      <c r="EL138" s="91"/>
      <c r="EM138" s="91"/>
    </row>
    <row r="139" spans="1:143" s="39" customFormat="1" ht="20.05" customHeight="1" outlineLevel="1">
      <c r="A139" s="108" t="s">
        <v>161</v>
      </c>
      <c r="B139" s="105" t="s">
        <v>155</v>
      </c>
      <c r="C139" s="106">
        <v>46198</v>
      </c>
      <c r="D139" s="106">
        <v>46218</v>
      </c>
      <c r="E139" s="106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</row>
    <row r="140" spans="1:143" s="39" customFormat="1" ht="20.05" customHeight="1" outlineLevel="1">
      <c r="A140" s="110" t="s">
        <v>162</v>
      </c>
      <c r="B140" s="105" t="s">
        <v>155</v>
      </c>
      <c r="C140" s="106">
        <v>46219</v>
      </c>
      <c r="D140" s="106">
        <v>46249</v>
      </c>
      <c r="E140" s="106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DY140" s="91"/>
      <c r="DZ140" s="91"/>
      <c r="EA140" s="91"/>
      <c r="EB140" s="91"/>
      <c r="EC140" s="91"/>
      <c r="ED140" s="91"/>
      <c r="EE140" s="91"/>
      <c r="EF140" s="91"/>
      <c r="EG140" s="91"/>
      <c r="EH140" s="91"/>
      <c r="EI140" s="91"/>
      <c r="EJ140" s="91"/>
      <c r="EK140" s="91"/>
      <c r="EL140" s="91"/>
      <c r="EM140" s="91"/>
    </row>
    <row r="141" spans="1:143" s="39" customFormat="1" ht="20.05" customHeight="1" outlineLevel="1">
      <c r="A141" s="104" t="s">
        <v>163</v>
      </c>
      <c r="B141" s="105" t="s">
        <v>155</v>
      </c>
      <c r="C141" s="106">
        <v>46204</v>
      </c>
      <c r="D141" s="106">
        <v>46266</v>
      </c>
      <c r="E141" s="106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</row>
    <row r="142" spans="1:143" s="39" customFormat="1" ht="20.05" customHeight="1" outlineLevel="1">
      <c r="A142" s="108" t="s">
        <v>164</v>
      </c>
      <c r="B142" s="105"/>
      <c r="C142" s="106">
        <v>46204</v>
      </c>
      <c r="D142" s="106">
        <v>46235</v>
      </c>
      <c r="E142" s="106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  <c r="DH142" s="91"/>
      <c r="DI142" s="91"/>
      <c r="DJ142" s="91"/>
      <c r="DK142" s="91"/>
      <c r="DL142" s="91"/>
      <c r="DM142" s="91"/>
      <c r="DN142" s="91"/>
      <c r="DO142" s="91"/>
      <c r="DP142" s="91"/>
      <c r="DQ142" s="91"/>
      <c r="DR142" s="91"/>
      <c r="DS142" s="91"/>
      <c r="DT142" s="91"/>
      <c r="DU142" s="91"/>
      <c r="DV142" s="91"/>
      <c r="DW142" s="91"/>
      <c r="DX142" s="91"/>
      <c r="DY142" s="91"/>
      <c r="DZ142" s="91"/>
      <c r="EA142" s="91"/>
      <c r="EB142" s="91"/>
      <c r="EC142" s="91"/>
      <c r="ED142" s="91"/>
      <c r="EE142" s="91"/>
      <c r="EF142" s="91"/>
      <c r="EG142" s="91"/>
      <c r="EH142" s="91"/>
      <c r="EI142" s="91"/>
      <c r="EJ142" s="91"/>
      <c r="EK142" s="91"/>
      <c r="EL142" s="91"/>
      <c r="EM142" s="91"/>
    </row>
    <row r="143" spans="1:143" s="39" customFormat="1" ht="20.05" customHeight="1" outlineLevel="1">
      <c r="A143" s="108" t="s">
        <v>165</v>
      </c>
      <c r="B143" s="105" t="s">
        <v>155</v>
      </c>
      <c r="C143" s="106">
        <v>46204</v>
      </c>
      <c r="D143" s="106">
        <v>46235</v>
      </c>
      <c r="E143" s="106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  <c r="DH143" s="91"/>
      <c r="DI143" s="91"/>
      <c r="DJ143" s="91"/>
      <c r="DK143" s="91"/>
      <c r="DL143" s="91"/>
      <c r="DM143" s="91"/>
      <c r="DN143" s="91"/>
      <c r="DO143" s="91"/>
      <c r="DP143" s="91"/>
      <c r="DQ143" s="91"/>
      <c r="DR143" s="91"/>
      <c r="DS143" s="91"/>
      <c r="DT143" s="91"/>
      <c r="DU143" s="91"/>
      <c r="DV143" s="91"/>
      <c r="DW143" s="91"/>
      <c r="DX143" s="91"/>
      <c r="DY143" s="91"/>
      <c r="DZ143" s="91"/>
      <c r="EA143" s="91"/>
      <c r="EB143" s="91"/>
      <c r="EC143" s="91"/>
      <c r="ED143" s="91"/>
      <c r="EE143" s="91"/>
      <c r="EF143" s="91"/>
      <c r="EG143" s="91"/>
      <c r="EH143" s="91"/>
      <c r="EI143" s="91"/>
      <c r="EJ143" s="91"/>
      <c r="EK143" s="91"/>
      <c r="EL143" s="91"/>
      <c r="EM143" s="91"/>
    </row>
    <row r="144" spans="1:143" s="39" customFormat="1" ht="20.05" customHeight="1" outlineLevel="1">
      <c r="A144" s="108" t="s">
        <v>166</v>
      </c>
      <c r="B144" s="105"/>
      <c r="C144" s="106">
        <v>46235</v>
      </c>
      <c r="D144" s="106">
        <v>46249</v>
      </c>
      <c r="E144" s="106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DY144" s="91"/>
      <c r="DZ144" s="91"/>
      <c r="EA144" s="91"/>
      <c r="EB144" s="91"/>
      <c r="EC144" s="91"/>
      <c r="ED144" s="91"/>
      <c r="EE144" s="91"/>
      <c r="EF144" s="91"/>
      <c r="EG144" s="91"/>
      <c r="EH144" s="91"/>
      <c r="EI144" s="91"/>
      <c r="EJ144" s="91"/>
      <c r="EK144" s="91"/>
      <c r="EL144" s="91"/>
      <c r="EM144" s="91"/>
    </row>
    <row r="145" spans="1:143" s="39" customFormat="1" ht="20.05" customHeight="1" outlineLevel="1">
      <c r="A145" s="108" t="s">
        <v>167</v>
      </c>
      <c r="B145" s="105" t="s">
        <v>155</v>
      </c>
      <c r="C145" s="106">
        <v>46250</v>
      </c>
      <c r="D145" s="106">
        <v>46266</v>
      </c>
      <c r="E145" s="106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  <c r="DH145" s="91"/>
      <c r="DI145" s="91"/>
      <c r="DJ145" s="91"/>
      <c r="DK145" s="91"/>
      <c r="DL145" s="91"/>
      <c r="DM145" s="91"/>
      <c r="DN145" s="91"/>
      <c r="DO145" s="91"/>
      <c r="DP145" s="91"/>
      <c r="DQ145" s="91"/>
      <c r="DR145" s="91"/>
      <c r="DS145" s="91"/>
      <c r="DT145" s="91"/>
      <c r="DU145" s="91"/>
      <c r="DV145" s="91"/>
      <c r="DW145" s="91"/>
      <c r="DX145" s="91"/>
      <c r="DY145" s="91"/>
      <c r="DZ145" s="91"/>
      <c r="EA145" s="91"/>
      <c r="EB145" s="91"/>
      <c r="EC145" s="91"/>
      <c r="ED145" s="91"/>
      <c r="EE145" s="91"/>
      <c r="EF145" s="91"/>
      <c r="EG145" s="91"/>
      <c r="EH145" s="91"/>
      <c r="EI145" s="91"/>
      <c r="EJ145" s="91"/>
      <c r="EK145" s="91"/>
      <c r="EL145" s="91"/>
      <c r="EM145" s="91"/>
    </row>
    <row r="146" spans="1:143" s="39" customFormat="1" ht="20.05" customHeight="1" outlineLevel="1">
      <c r="A146" s="104" t="s">
        <v>168</v>
      </c>
      <c r="B146" s="105" t="s">
        <v>155</v>
      </c>
      <c r="C146" s="106">
        <v>46254</v>
      </c>
      <c r="D146" s="106">
        <v>46326</v>
      </c>
      <c r="E146" s="106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  <c r="DH146" s="91"/>
      <c r="DI146" s="91"/>
      <c r="DJ146" s="91"/>
      <c r="DK146" s="91"/>
      <c r="DL146" s="91"/>
      <c r="DM146" s="91"/>
      <c r="DN146" s="91"/>
      <c r="DO146" s="91"/>
      <c r="DP146" s="91"/>
      <c r="DQ146" s="91"/>
      <c r="DR146" s="91"/>
      <c r="DS146" s="91"/>
      <c r="DT146" s="91"/>
      <c r="DU146" s="91"/>
      <c r="DV146" s="91"/>
      <c r="DW146" s="91"/>
      <c r="DX146" s="91"/>
      <c r="DY146" s="91"/>
      <c r="DZ146" s="91"/>
      <c r="EA146" s="91"/>
      <c r="EB146" s="91"/>
      <c r="EC146" s="91"/>
      <c r="ED146" s="91"/>
      <c r="EE146" s="91"/>
      <c r="EF146" s="91"/>
      <c r="EG146" s="91"/>
      <c r="EH146" s="91"/>
      <c r="EI146" s="91"/>
      <c r="EJ146" s="91"/>
      <c r="EK146" s="91"/>
      <c r="EL146" s="91"/>
      <c r="EM146" s="91"/>
    </row>
    <row r="147" spans="1:143" s="39" customFormat="1" ht="20.05" customHeight="1" outlineLevel="1">
      <c r="A147" s="108" t="s">
        <v>169</v>
      </c>
      <c r="B147" s="105"/>
      <c r="C147" s="106">
        <v>46254</v>
      </c>
      <c r="D147" s="106">
        <v>46266</v>
      </c>
      <c r="E147" s="106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DY147" s="91"/>
      <c r="DZ147" s="91"/>
      <c r="EA147" s="91"/>
      <c r="EB147" s="91"/>
      <c r="EC147" s="91"/>
      <c r="ED147" s="91"/>
      <c r="EE147" s="91"/>
      <c r="EF147" s="91"/>
      <c r="EG147" s="91"/>
      <c r="EH147" s="91"/>
      <c r="EI147" s="91"/>
      <c r="EJ147" s="91"/>
      <c r="EK147" s="91"/>
      <c r="EL147" s="91"/>
      <c r="EM147" s="91"/>
    </row>
    <row r="148" spans="1:143" s="39" customFormat="1" ht="20.05" customHeight="1" outlineLevel="1">
      <c r="A148" s="108" t="s">
        <v>170</v>
      </c>
      <c r="B148" s="105"/>
      <c r="C148" s="106">
        <v>46267</v>
      </c>
      <c r="D148" s="106">
        <v>46310</v>
      </c>
      <c r="E148" s="106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DY148" s="91"/>
      <c r="DZ148" s="91"/>
      <c r="EA148" s="91"/>
      <c r="EB148" s="91"/>
      <c r="EC148" s="91"/>
      <c r="ED148" s="91"/>
      <c r="EE148" s="91"/>
      <c r="EF148" s="91"/>
      <c r="EG148" s="91"/>
      <c r="EH148" s="91"/>
      <c r="EI148" s="91"/>
      <c r="EJ148" s="91"/>
      <c r="EK148" s="91"/>
      <c r="EL148" s="91"/>
      <c r="EM148" s="91"/>
    </row>
    <row r="149" spans="1:143" s="39" customFormat="1" ht="20.05" customHeight="1" outlineLevel="1">
      <c r="A149" s="108" t="s">
        <v>171</v>
      </c>
      <c r="B149" s="105" t="s">
        <v>155</v>
      </c>
      <c r="C149" s="106">
        <v>46310</v>
      </c>
      <c r="D149" s="106">
        <v>46326</v>
      </c>
      <c r="E149" s="106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  <c r="DH149" s="91"/>
      <c r="DI149" s="91"/>
      <c r="DJ149" s="91"/>
      <c r="DK149" s="91"/>
      <c r="DL149" s="91"/>
      <c r="DM149" s="91"/>
      <c r="DN149" s="91"/>
      <c r="DO149" s="91"/>
      <c r="DP149" s="91"/>
      <c r="DQ149" s="91"/>
      <c r="DR149" s="91"/>
      <c r="DS149" s="91"/>
      <c r="DT149" s="91"/>
      <c r="DU149" s="91"/>
      <c r="DV149" s="91"/>
      <c r="DW149" s="91"/>
      <c r="DX149" s="91"/>
      <c r="DY149" s="91"/>
      <c r="DZ149" s="91"/>
      <c r="EA149" s="91"/>
      <c r="EB149" s="91"/>
      <c r="EC149" s="91"/>
      <c r="ED149" s="91"/>
      <c r="EE149" s="91"/>
      <c r="EF149" s="91"/>
      <c r="EG149" s="91"/>
      <c r="EH149" s="91"/>
      <c r="EI149" s="91"/>
      <c r="EJ149" s="91"/>
      <c r="EK149" s="91"/>
      <c r="EL149" s="91"/>
      <c r="EM149" s="91"/>
    </row>
    <row r="150" spans="1:143" s="39" customFormat="1" ht="20.05" customHeight="1" outlineLevel="1">
      <c r="A150" s="111" t="s">
        <v>172</v>
      </c>
      <c r="B150" s="105" t="s">
        <v>173</v>
      </c>
      <c r="C150" s="106">
        <v>46174</v>
      </c>
      <c r="D150" s="106">
        <v>46251</v>
      </c>
      <c r="E150" s="106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  <c r="CW150" s="91"/>
      <c r="CX150" s="91"/>
      <c r="CY150" s="91"/>
      <c r="CZ150" s="91"/>
      <c r="DA150" s="91"/>
      <c r="DB150" s="91"/>
      <c r="DC150" s="91"/>
      <c r="DD150" s="91"/>
      <c r="DE150" s="91"/>
      <c r="DF150" s="91"/>
      <c r="DG150" s="91"/>
      <c r="DH150" s="91"/>
      <c r="DI150" s="91"/>
      <c r="DJ150" s="91"/>
      <c r="DK150" s="91"/>
      <c r="DL150" s="91"/>
      <c r="DM150" s="91"/>
      <c r="DN150" s="91"/>
      <c r="DO150" s="91"/>
      <c r="DP150" s="91"/>
      <c r="DQ150" s="91"/>
      <c r="DR150" s="91"/>
      <c r="DS150" s="91"/>
      <c r="DT150" s="91"/>
      <c r="DU150" s="91"/>
      <c r="DV150" s="91"/>
      <c r="DW150" s="91"/>
      <c r="DX150" s="91"/>
      <c r="DY150" s="91"/>
      <c r="DZ150" s="91"/>
      <c r="EA150" s="91"/>
      <c r="EB150" s="91"/>
      <c r="EC150" s="91"/>
      <c r="ED150" s="91"/>
      <c r="EE150" s="91"/>
      <c r="EF150" s="91"/>
      <c r="EG150" s="91"/>
      <c r="EH150" s="91"/>
      <c r="EI150" s="91"/>
      <c r="EJ150" s="91"/>
      <c r="EK150" s="91"/>
      <c r="EL150" s="91"/>
      <c r="EM150" s="91"/>
    </row>
    <row r="151" spans="1:143" s="39" customFormat="1" ht="20.05" customHeight="1" outlineLevel="1">
      <c r="A151" s="108" t="s">
        <v>174</v>
      </c>
      <c r="B151" s="105" t="s">
        <v>175</v>
      </c>
      <c r="C151" s="106">
        <v>46310</v>
      </c>
      <c r="D151" s="106">
        <v>46325</v>
      </c>
      <c r="E151" s="106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  <c r="CW151" s="91"/>
      <c r="CX151" s="91"/>
      <c r="CY151" s="91"/>
      <c r="CZ151" s="91"/>
      <c r="DA151" s="91"/>
      <c r="DB151" s="91"/>
      <c r="DC151" s="91"/>
      <c r="DD151" s="91"/>
      <c r="DE151" s="91"/>
      <c r="DF151" s="91"/>
      <c r="DG151" s="91"/>
      <c r="DH151" s="91"/>
      <c r="DI151" s="91"/>
      <c r="DJ151" s="91"/>
      <c r="DK151" s="91"/>
      <c r="DL151" s="91"/>
      <c r="DM151" s="91"/>
      <c r="DN151" s="91"/>
      <c r="DO151" s="91"/>
      <c r="DP151" s="91"/>
      <c r="DQ151" s="91"/>
      <c r="DR151" s="91"/>
      <c r="DS151" s="91"/>
      <c r="DT151" s="91"/>
      <c r="DU151" s="91"/>
      <c r="DV151" s="91"/>
      <c r="DW151" s="91"/>
      <c r="DX151" s="91"/>
      <c r="DY151" s="91"/>
      <c r="DZ151" s="91"/>
      <c r="EA151" s="91"/>
      <c r="EB151" s="91"/>
      <c r="EC151" s="91"/>
      <c r="ED151" s="91"/>
      <c r="EE151" s="91"/>
      <c r="EF151" s="91"/>
      <c r="EG151" s="91"/>
      <c r="EH151" s="91"/>
      <c r="EI151" s="91"/>
      <c r="EJ151" s="91"/>
      <c r="EK151" s="91"/>
      <c r="EL151" s="91"/>
      <c r="EM151" s="91"/>
    </row>
    <row r="152" spans="1:143" s="39" customFormat="1" ht="20.05" customHeight="1" outlineLevel="1">
      <c r="A152" s="108" t="s">
        <v>176</v>
      </c>
      <c r="B152" s="105" t="s">
        <v>145</v>
      </c>
      <c r="C152" s="106">
        <v>46310</v>
      </c>
      <c r="D152" s="106">
        <v>46325</v>
      </c>
      <c r="E152" s="106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  <c r="DH152" s="91"/>
      <c r="DI152" s="91"/>
      <c r="DJ152" s="91"/>
      <c r="DK152" s="91"/>
      <c r="DL152" s="91"/>
      <c r="DM152" s="91"/>
      <c r="DN152" s="91"/>
      <c r="DO152" s="91"/>
      <c r="DP152" s="91"/>
      <c r="DQ152" s="91"/>
      <c r="DR152" s="91"/>
      <c r="DS152" s="91"/>
      <c r="DT152" s="91"/>
      <c r="DU152" s="91"/>
      <c r="DV152" s="91"/>
      <c r="DW152" s="91"/>
      <c r="DX152" s="91"/>
      <c r="DY152" s="91"/>
      <c r="DZ152" s="91"/>
      <c r="EA152" s="91"/>
      <c r="EB152" s="91"/>
      <c r="EC152" s="91"/>
      <c r="ED152" s="91"/>
      <c r="EE152" s="91"/>
      <c r="EF152" s="91"/>
      <c r="EG152" s="91"/>
      <c r="EH152" s="91"/>
      <c r="EI152" s="91"/>
      <c r="EJ152" s="91"/>
      <c r="EK152" s="91"/>
      <c r="EL152" s="91"/>
      <c r="EM152" s="91"/>
    </row>
    <row r="153" spans="1:143" s="39" customFormat="1" ht="21" customHeight="1" outlineLevel="1">
      <c r="A153" s="102" t="s">
        <v>177</v>
      </c>
      <c r="B153" s="103"/>
      <c r="C153" s="103"/>
      <c r="D153" s="103"/>
      <c r="E153" s="10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</row>
    <row r="154" spans="1:143" s="39" customFormat="1" ht="20.05" customHeight="1" outlineLevel="1">
      <c r="A154" s="104" t="s">
        <v>178</v>
      </c>
      <c r="B154" s="105" t="s">
        <v>175</v>
      </c>
      <c r="C154" s="106">
        <v>46296</v>
      </c>
      <c r="D154" s="106">
        <v>46326</v>
      </c>
      <c r="E154" s="106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1"/>
      <c r="DS154" s="91"/>
      <c r="DT154" s="91"/>
      <c r="DU154" s="91"/>
      <c r="DV154" s="91"/>
      <c r="DW154" s="91"/>
      <c r="DX154" s="91"/>
      <c r="DY154" s="91"/>
      <c r="DZ154" s="91"/>
      <c r="EA154" s="91"/>
      <c r="EB154" s="91"/>
      <c r="EC154" s="91"/>
      <c r="ED154" s="91"/>
      <c r="EE154" s="91"/>
      <c r="EF154" s="91"/>
      <c r="EG154" s="91"/>
      <c r="EH154" s="91"/>
      <c r="EI154" s="91"/>
      <c r="EJ154" s="91"/>
      <c r="EK154" s="91"/>
      <c r="EL154" s="91"/>
      <c r="EM154" s="91"/>
    </row>
    <row r="155" spans="1:143" s="39" customFormat="1" ht="20.05" customHeight="1" outlineLevel="1">
      <c r="A155" s="104" t="s">
        <v>179</v>
      </c>
      <c r="B155" s="105" t="s">
        <v>175</v>
      </c>
      <c r="C155" s="106">
        <v>46296</v>
      </c>
      <c r="D155" s="106">
        <v>46326</v>
      </c>
      <c r="E155" s="106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1"/>
      <c r="DS155" s="91"/>
      <c r="DT155" s="91"/>
      <c r="DU155" s="91"/>
      <c r="DV155" s="91"/>
      <c r="DW155" s="91"/>
      <c r="DX155" s="91"/>
      <c r="DY155" s="91"/>
      <c r="DZ155" s="91"/>
      <c r="EA155" s="91"/>
      <c r="EB155" s="91"/>
      <c r="EC155" s="91"/>
      <c r="ED155" s="91"/>
      <c r="EE155" s="91"/>
      <c r="EF155" s="91"/>
      <c r="EG155" s="91"/>
      <c r="EH155" s="91"/>
      <c r="EI155" s="91"/>
      <c r="EJ155" s="91"/>
      <c r="EK155" s="91"/>
      <c r="EL155" s="91"/>
      <c r="EM155" s="91"/>
    </row>
    <row r="156" spans="1:143" s="39" customFormat="1" ht="20.05" customHeight="1" outlineLevel="1">
      <c r="A156" s="104" t="s">
        <v>180</v>
      </c>
      <c r="B156" s="105" t="s">
        <v>175</v>
      </c>
      <c r="C156" s="106">
        <v>46296</v>
      </c>
      <c r="D156" s="106">
        <v>46327</v>
      </c>
      <c r="E156" s="106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  <c r="DH156" s="91"/>
      <c r="DI156" s="91"/>
      <c r="DJ156" s="91"/>
      <c r="DK156" s="91"/>
      <c r="DL156" s="91"/>
      <c r="DM156" s="91"/>
      <c r="DN156" s="91"/>
      <c r="DO156" s="91"/>
      <c r="DP156" s="91"/>
      <c r="DQ156" s="91"/>
      <c r="DR156" s="91"/>
      <c r="DS156" s="91"/>
      <c r="DT156" s="91"/>
      <c r="DU156" s="91"/>
      <c r="DV156" s="91"/>
      <c r="DW156" s="91"/>
      <c r="DX156" s="91"/>
      <c r="DY156" s="91"/>
      <c r="DZ156" s="91"/>
      <c r="EA156" s="91"/>
      <c r="EB156" s="91"/>
      <c r="EC156" s="91"/>
      <c r="ED156" s="91"/>
      <c r="EE156" s="91"/>
      <c r="EF156" s="91"/>
      <c r="EG156" s="91"/>
      <c r="EH156" s="91"/>
      <c r="EI156" s="91"/>
      <c r="EJ156" s="91"/>
      <c r="EK156" s="91"/>
      <c r="EL156" s="91"/>
      <c r="EM156" s="91"/>
    </row>
    <row r="157" spans="1:143" s="39" customFormat="1" ht="20.05" customHeight="1" outlineLevel="1">
      <c r="A157" s="108" t="s">
        <v>181</v>
      </c>
      <c r="B157" s="105" t="s">
        <v>175</v>
      </c>
      <c r="C157" s="106">
        <v>46296</v>
      </c>
      <c r="D157" s="106">
        <v>46327</v>
      </c>
      <c r="E157" s="106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  <c r="CW157" s="91"/>
      <c r="CX157" s="91"/>
      <c r="CY157" s="91"/>
      <c r="CZ157" s="91"/>
      <c r="DA157" s="91"/>
      <c r="DB157" s="91"/>
      <c r="DC157" s="91"/>
      <c r="DD157" s="91"/>
      <c r="DE157" s="91"/>
      <c r="DF157" s="91"/>
      <c r="DG157" s="91"/>
      <c r="DH157" s="91"/>
      <c r="DI157" s="91"/>
      <c r="DJ157" s="91"/>
      <c r="DK157" s="91"/>
      <c r="DL157" s="91"/>
      <c r="DM157" s="91"/>
      <c r="DN157" s="91"/>
      <c r="DO157" s="91"/>
      <c r="DP157" s="91"/>
      <c r="DQ157" s="91"/>
      <c r="DR157" s="91"/>
      <c r="DS157" s="91"/>
      <c r="DT157" s="91"/>
      <c r="DU157" s="91"/>
      <c r="DV157" s="91"/>
      <c r="DW157" s="91"/>
      <c r="DX157" s="91"/>
      <c r="DY157" s="91"/>
      <c r="DZ157" s="91"/>
      <c r="EA157" s="91"/>
      <c r="EB157" s="91"/>
      <c r="EC157" s="91"/>
      <c r="ED157" s="91"/>
      <c r="EE157" s="91"/>
      <c r="EF157" s="91"/>
      <c r="EG157" s="91"/>
      <c r="EH157" s="91"/>
      <c r="EI157" s="91"/>
      <c r="EJ157" s="91"/>
      <c r="EK157" s="91"/>
      <c r="EL157" s="91"/>
      <c r="EM157" s="91"/>
    </row>
    <row r="158" spans="1:143" s="39" customFormat="1" ht="20.05" customHeight="1" outlineLevel="1">
      <c r="A158" s="108" t="s">
        <v>182</v>
      </c>
      <c r="B158" s="105" t="s">
        <v>175</v>
      </c>
      <c r="C158" s="106">
        <v>46296</v>
      </c>
      <c r="D158" s="106">
        <v>46327</v>
      </c>
      <c r="E158" s="106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  <c r="CW158" s="91"/>
      <c r="CX158" s="91"/>
      <c r="CY158" s="91"/>
      <c r="CZ158" s="91"/>
      <c r="DA158" s="91"/>
      <c r="DB158" s="91"/>
      <c r="DC158" s="91"/>
      <c r="DD158" s="91"/>
      <c r="DE158" s="91"/>
      <c r="DF158" s="91"/>
      <c r="DG158" s="91"/>
      <c r="DH158" s="91"/>
      <c r="DI158" s="91"/>
      <c r="DJ158" s="91"/>
      <c r="DK158" s="91"/>
      <c r="DL158" s="91"/>
      <c r="DM158" s="91"/>
      <c r="DN158" s="91"/>
      <c r="DO158" s="91"/>
      <c r="DP158" s="91"/>
      <c r="DQ158" s="91"/>
      <c r="DR158" s="91"/>
      <c r="DS158" s="91"/>
      <c r="DT158" s="91"/>
      <c r="DU158" s="91"/>
      <c r="DV158" s="91"/>
      <c r="DW158" s="91"/>
      <c r="DX158" s="91"/>
      <c r="DY158" s="91"/>
      <c r="DZ158" s="91"/>
      <c r="EA158" s="91"/>
      <c r="EB158" s="91"/>
      <c r="EC158" s="91"/>
      <c r="ED158" s="91"/>
      <c r="EE158" s="91"/>
      <c r="EF158" s="91"/>
      <c r="EG158" s="91"/>
      <c r="EH158" s="91"/>
      <c r="EI158" s="91"/>
      <c r="EJ158" s="91"/>
      <c r="EK158" s="91"/>
      <c r="EL158" s="91"/>
      <c r="EM158" s="91"/>
    </row>
    <row r="159" spans="1:143" s="39" customFormat="1" ht="20.05" customHeight="1" outlineLevel="1">
      <c r="A159" s="108" t="s">
        <v>183</v>
      </c>
      <c r="B159" s="105" t="s">
        <v>175</v>
      </c>
      <c r="C159" s="106">
        <v>46296</v>
      </c>
      <c r="D159" s="106">
        <v>46327</v>
      </c>
      <c r="E159" s="106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  <c r="DH159" s="91"/>
      <c r="DI159" s="91"/>
      <c r="DJ159" s="91"/>
      <c r="DK159" s="91"/>
      <c r="DL159" s="91"/>
      <c r="DM159" s="91"/>
      <c r="DN159" s="91"/>
      <c r="DO159" s="91"/>
      <c r="DP159" s="91"/>
      <c r="DQ159" s="91"/>
      <c r="DR159" s="91"/>
      <c r="DS159" s="91"/>
      <c r="DT159" s="91"/>
      <c r="DU159" s="91"/>
      <c r="DV159" s="91"/>
      <c r="DW159" s="91"/>
      <c r="DX159" s="91"/>
      <c r="DY159" s="91"/>
      <c r="DZ159" s="91"/>
      <c r="EA159" s="91"/>
      <c r="EB159" s="91"/>
      <c r="EC159" s="91"/>
      <c r="ED159" s="91"/>
      <c r="EE159" s="91"/>
      <c r="EF159" s="91"/>
      <c r="EG159" s="91"/>
      <c r="EH159" s="91"/>
      <c r="EI159" s="91"/>
      <c r="EJ159" s="91"/>
      <c r="EK159" s="91"/>
      <c r="EL159" s="91"/>
      <c r="EM159" s="91"/>
    </row>
    <row r="160" spans="1:143" s="39" customFormat="1" ht="20.05" customHeight="1" outlineLevel="1">
      <c r="A160" s="108" t="s">
        <v>184</v>
      </c>
      <c r="B160" s="105" t="s">
        <v>175</v>
      </c>
      <c r="C160" s="106">
        <v>46296</v>
      </c>
      <c r="D160" s="106">
        <v>46327</v>
      </c>
      <c r="E160" s="106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  <c r="DH160" s="91"/>
      <c r="DI160" s="91"/>
      <c r="DJ160" s="91"/>
      <c r="DK160" s="91"/>
      <c r="DL160" s="91"/>
      <c r="DM160" s="91"/>
      <c r="DN160" s="91"/>
      <c r="DO160" s="91"/>
      <c r="DP160" s="91"/>
      <c r="DQ160" s="91"/>
      <c r="DR160" s="91"/>
      <c r="DS160" s="91"/>
      <c r="DT160" s="91"/>
      <c r="DU160" s="91"/>
      <c r="DV160" s="91"/>
      <c r="DW160" s="91"/>
      <c r="DX160" s="91"/>
      <c r="DY160" s="91"/>
      <c r="DZ160" s="91"/>
      <c r="EA160" s="91"/>
      <c r="EB160" s="91"/>
      <c r="EC160" s="91"/>
      <c r="ED160" s="91"/>
      <c r="EE160" s="91"/>
      <c r="EF160" s="91"/>
      <c r="EG160" s="91"/>
      <c r="EH160" s="91"/>
      <c r="EI160" s="91"/>
      <c r="EJ160" s="91"/>
      <c r="EK160" s="91"/>
      <c r="EL160" s="91"/>
      <c r="EM160" s="91"/>
    </row>
    <row r="161" spans="1:143" s="39" customFormat="1" ht="21" customHeight="1" outlineLevel="1">
      <c r="A161" s="102" t="s">
        <v>185</v>
      </c>
      <c r="B161" s="103"/>
      <c r="C161" s="103"/>
      <c r="D161" s="103"/>
      <c r="E161" s="10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</row>
    <row r="162" spans="1:143" s="39" customFormat="1" ht="20.05" customHeight="1" outlineLevel="1">
      <c r="A162" s="104" t="s">
        <v>186</v>
      </c>
      <c r="B162" s="105" t="s">
        <v>187</v>
      </c>
      <c r="C162" s="106">
        <v>46296</v>
      </c>
      <c r="D162" s="106">
        <v>46327</v>
      </c>
      <c r="E162" s="106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  <c r="DH162" s="91"/>
      <c r="DI162" s="91"/>
      <c r="DJ162" s="91"/>
      <c r="DK162" s="91"/>
      <c r="DL162" s="91"/>
      <c r="DM162" s="91"/>
      <c r="DN162" s="91"/>
      <c r="DO162" s="91"/>
      <c r="DP162" s="91"/>
      <c r="DQ162" s="91"/>
      <c r="DR162" s="91"/>
      <c r="DS162" s="91"/>
      <c r="DT162" s="91"/>
      <c r="DU162" s="91"/>
      <c r="DV162" s="91"/>
      <c r="DW162" s="91"/>
      <c r="DX162" s="91"/>
      <c r="DY162" s="91"/>
      <c r="DZ162" s="91"/>
      <c r="EA162" s="91"/>
      <c r="EB162" s="91"/>
      <c r="EC162" s="91"/>
      <c r="ED162" s="91"/>
      <c r="EE162" s="91"/>
      <c r="EF162" s="91"/>
      <c r="EG162" s="91"/>
      <c r="EH162" s="91"/>
      <c r="EI162" s="91"/>
      <c r="EJ162" s="91"/>
      <c r="EK162" s="91"/>
      <c r="EL162" s="91"/>
      <c r="EM162" s="91"/>
    </row>
    <row r="163" spans="1:143" s="39" customFormat="1" ht="20.05" customHeight="1" outlineLevel="1">
      <c r="A163" s="108" t="s">
        <v>188</v>
      </c>
      <c r="B163" s="105"/>
      <c r="C163" s="106"/>
      <c r="D163" s="106"/>
      <c r="E163" s="106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  <c r="CW163" s="91"/>
      <c r="CX163" s="91"/>
      <c r="CY163" s="91"/>
      <c r="CZ163" s="91"/>
      <c r="DA163" s="91"/>
      <c r="DB163" s="91"/>
      <c r="DC163" s="91"/>
      <c r="DD163" s="91"/>
      <c r="DE163" s="91"/>
      <c r="DF163" s="91"/>
      <c r="DG163" s="91"/>
      <c r="DH163" s="91"/>
      <c r="DI163" s="91"/>
      <c r="DJ163" s="91"/>
      <c r="DK163" s="91"/>
      <c r="DL163" s="91"/>
      <c r="DM163" s="91"/>
      <c r="DN163" s="91"/>
      <c r="DO163" s="91"/>
      <c r="DP163" s="91"/>
      <c r="DQ163" s="91"/>
      <c r="DR163" s="91"/>
      <c r="DS163" s="91"/>
      <c r="DT163" s="91"/>
      <c r="DU163" s="91"/>
      <c r="DV163" s="91"/>
      <c r="DW163" s="91"/>
      <c r="DX163" s="91"/>
      <c r="DY163" s="91"/>
      <c r="DZ163" s="91"/>
      <c r="EA163" s="91"/>
      <c r="EB163" s="91"/>
      <c r="EC163" s="91"/>
      <c r="ED163" s="91"/>
      <c r="EE163" s="91"/>
      <c r="EF163" s="91"/>
      <c r="EG163" s="91"/>
      <c r="EH163" s="91"/>
      <c r="EI163" s="91"/>
      <c r="EJ163" s="91"/>
      <c r="EK163" s="91"/>
      <c r="EL163" s="91"/>
      <c r="EM163" s="91"/>
    </row>
    <row r="164" spans="1:143" s="39" customFormat="1" ht="20.05" customHeight="1" outlineLevel="1">
      <c r="A164" s="104" t="s">
        <v>189</v>
      </c>
      <c r="B164" s="105" t="s">
        <v>187</v>
      </c>
      <c r="C164" s="106">
        <v>46296</v>
      </c>
      <c r="D164" s="106">
        <v>46327</v>
      </c>
      <c r="E164" s="106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1"/>
      <c r="CZ164" s="91"/>
      <c r="DA164" s="91"/>
      <c r="DB164" s="91"/>
      <c r="DC164" s="91"/>
      <c r="DD164" s="91"/>
      <c r="DE164" s="91"/>
      <c r="DF164" s="91"/>
      <c r="DG164" s="91"/>
      <c r="DH164" s="91"/>
      <c r="DI164" s="91"/>
      <c r="DJ164" s="91"/>
      <c r="DK164" s="91"/>
      <c r="DL164" s="91"/>
      <c r="DM164" s="91"/>
      <c r="DN164" s="91"/>
      <c r="DO164" s="91"/>
      <c r="DP164" s="91"/>
      <c r="DQ164" s="91"/>
      <c r="DR164" s="91"/>
      <c r="DS164" s="91"/>
      <c r="DT164" s="91"/>
      <c r="DU164" s="91"/>
      <c r="DV164" s="91"/>
      <c r="DW164" s="91"/>
      <c r="DX164" s="91"/>
      <c r="DY164" s="91"/>
      <c r="DZ164" s="91"/>
      <c r="EA164" s="91"/>
      <c r="EB164" s="91"/>
      <c r="EC164" s="91"/>
      <c r="ED164" s="91"/>
      <c r="EE164" s="91"/>
      <c r="EF164" s="91"/>
      <c r="EG164" s="91"/>
      <c r="EH164" s="91"/>
      <c r="EI164" s="91"/>
      <c r="EJ164" s="91"/>
      <c r="EK164" s="91"/>
      <c r="EL164" s="91"/>
      <c r="EM164" s="91"/>
    </row>
    <row r="165" spans="1:143" s="39" customFormat="1" ht="20.05" customHeight="1" outlineLevel="1">
      <c r="A165" s="108" t="s">
        <v>190</v>
      </c>
      <c r="B165" s="105"/>
      <c r="C165" s="106"/>
      <c r="D165" s="106"/>
      <c r="E165" s="106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  <c r="DH165" s="91"/>
      <c r="DI165" s="91"/>
      <c r="DJ165" s="91"/>
      <c r="DK165" s="91"/>
      <c r="DL165" s="91"/>
      <c r="DM165" s="91"/>
      <c r="DN165" s="91"/>
      <c r="DO165" s="91"/>
      <c r="DP165" s="91"/>
      <c r="DQ165" s="91"/>
      <c r="DR165" s="91"/>
      <c r="DS165" s="91"/>
      <c r="DT165" s="91"/>
      <c r="DU165" s="91"/>
      <c r="DV165" s="91"/>
      <c r="DW165" s="91"/>
      <c r="DX165" s="91"/>
      <c r="DY165" s="91"/>
      <c r="DZ165" s="91"/>
      <c r="EA165" s="91"/>
      <c r="EB165" s="91"/>
      <c r="EC165" s="91"/>
      <c r="ED165" s="91"/>
      <c r="EE165" s="91"/>
      <c r="EF165" s="91"/>
      <c r="EG165" s="91"/>
      <c r="EH165" s="91"/>
      <c r="EI165" s="91"/>
      <c r="EJ165" s="91"/>
      <c r="EK165" s="91"/>
      <c r="EL165" s="91"/>
      <c r="EM165" s="91"/>
    </row>
    <row r="166" spans="1:143" s="39" customFormat="1" ht="20.05" customHeight="1" outlineLevel="1">
      <c r="A166" s="104" t="s">
        <v>191</v>
      </c>
      <c r="B166" s="105" t="s">
        <v>187</v>
      </c>
      <c r="C166" s="106">
        <v>46296</v>
      </c>
      <c r="D166" s="106">
        <v>46327</v>
      </c>
      <c r="E166" s="106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1"/>
      <c r="CZ166" s="91"/>
      <c r="DA166" s="91"/>
      <c r="DB166" s="91"/>
      <c r="DC166" s="91"/>
      <c r="DD166" s="91"/>
      <c r="DE166" s="91"/>
      <c r="DF166" s="91"/>
      <c r="DG166" s="91"/>
      <c r="DH166" s="91"/>
      <c r="DI166" s="91"/>
      <c r="DJ166" s="91"/>
      <c r="DK166" s="91"/>
      <c r="DL166" s="91"/>
      <c r="DM166" s="91"/>
      <c r="DN166" s="91"/>
      <c r="DO166" s="91"/>
      <c r="DP166" s="91"/>
      <c r="DQ166" s="91"/>
      <c r="DR166" s="91"/>
      <c r="DS166" s="91"/>
      <c r="DT166" s="91"/>
      <c r="DU166" s="91"/>
      <c r="DV166" s="91"/>
      <c r="DW166" s="91"/>
      <c r="DX166" s="91"/>
      <c r="DY166" s="91"/>
      <c r="DZ166" s="91"/>
      <c r="EA166" s="91"/>
      <c r="EB166" s="91"/>
      <c r="EC166" s="91"/>
      <c r="ED166" s="91"/>
      <c r="EE166" s="91"/>
      <c r="EF166" s="91"/>
      <c r="EG166" s="91"/>
      <c r="EH166" s="91"/>
      <c r="EI166" s="91"/>
      <c r="EJ166" s="91"/>
      <c r="EK166" s="91"/>
      <c r="EL166" s="91"/>
      <c r="EM166" s="91"/>
    </row>
    <row r="167" spans="1:143" s="39" customFormat="1" ht="20.05" customHeight="1" outlineLevel="1">
      <c r="A167" s="108" t="s">
        <v>192</v>
      </c>
      <c r="B167" s="105"/>
      <c r="C167" s="106"/>
      <c r="D167" s="106"/>
      <c r="E167" s="106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  <c r="CW167" s="91"/>
      <c r="CX167" s="91"/>
      <c r="CY167" s="91"/>
      <c r="CZ167" s="91"/>
      <c r="DA167" s="91"/>
      <c r="DB167" s="91"/>
      <c r="DC167" s="91"/>
      <c r="DD167" s="91"/>
      <c r="DE167" s="91"/>
      <c r="DF167" s="91"/>
      <c r="DG167" s="91"/>
      <c r="DH167" s="91"/>
      <c r="DI167" s="91"/>
      <c r="DJ167" s="91"/>
      <c r="DK167" s="91"/>
      <c r="DL167" s="91"/>
      <c r="DM167" s="91"/>
      <c r="DN167" s="91"/>
      <c r="DO167" s="91"/>
      <c r="DP167" s="91"/>
      <c r="DQ167" s="91"/>
      <c r="DR167" s="91"/>
      <c r="DS167" s="91"/>
      <c r="DT167" s="91"/>
      <c r="DU167" s="91"/>
      <c r="DV167" s="91"/>
      <c r="DW167" s="91"/>
      <c r="DX167" s="91"/>
      <c r="DY167" s="91"/>
      <c r="DZ167" s="91"/>
      <c r="EA167" s="91"/>
      <c r="EB167" s="91"/>
      <c r="EC167" s="91"/>
      <c r="ED167" s="91"/>
      <c r="EE167" s="91"/>
      <c r="EF167" s="91"/>
      <c r="EG167" s="91"/>
      <c r="EH167" s="91"/>
      <c r="EI167" s="91"/>
      <c r="EJ167" s="91"/>
      <c r="EK167" s="91"/>
      <c r="EL167" s="91"/>
      <c r="EM167" s="91"/>
    </row>
    <row r="168" spans="1:143" s="39" customFormat="1" ht="20.05" customHeight="1" outlineLevel="1">
      <c r="A168" s="104" t="s">
        <v>193</v>
      </c>
      <c r="B168" s="105" t="s">
        <v>187</v>
      </c>
      <c r="C168" s="106">
        <v>46296</v>
      </c>
      <c r="D168" s="106">
        <v>46327</v>
      </c>
      <c r="E168" s="106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  <c r="CW168" s="91"/>
      <c r="CX168" s="91"/>
      <c r="CY168" s="91"/>
      <c r="CZ168" s="91"/>
      <c r="DA168" s="91"/>
      <c r="DB168" s="91"/>
      <c r="DC168" s="91"/>
      <c r="DD168" s="91"/>
      <c r="DE168" s="91"/>
      <c r="DF168" s="91"/>
      <c r="DG168" s="91"/>
      <c r="DH168" s="91"/>
      <c r="DI168" s="91"/>
      <c r="DJ168" s="91"/>
      <c r="DK168" s="91"/>
      <c r="DL168" s="91"/>
      <c r="DM168" s="91"/>
      <c r="DN168" s="91"/>
      <c r="DO168" s="91"/>
      <c r="DP168" s="91"/>
      <c r="DQ168" s="91"/>
      <c r="DR168" s="91"/>
      <c r="DS168" s="91"/>
      <c r="DT168" s="91"/>
      <c r="DU168" s="91"/>
      <c r="DV168" s="91"/>
      <c r="DW168" s="91"/>
      <c r="DX168" s="91"/>
      <c r="DY168" s="91"/>
      <c r="DZ168" s="91"/>
      <c r="EA168" s="91"/>
      <c r="EB168" s="91"/>
      <c r="EC168" s="91"/>
      <c r="ED168" s="91"/>
      <c r="EE168" s="91"/>
      <c r="EF168" s="91"/>
      <c r="EG168" s="91"/>
      <c r="EH168" s="91"/>
      <c r="EI168" s="91"/>
      <c r="EJ168" s="91"/>
      <c r="EK168" s="91"/>
      <c r="EL168" s="91"/>
      <c r="EM168" s="91"/>
    </row>
    <row r="169" spans="1:143" s="39" customFormat="1" ht="20.05" customHeight="1" outlineLevel="1">
      <c r="A169" s="104" t="s">
        <v>194</v>
      </c>
      <c r="B169" s="105" t="s">
        <v>187</v>
      </c>
      <c r="C169" s="106">
        <v>46296</v>
      </c>
      <c r="D169" s="106">
        <v>46327</v>
      </c>
      <c r="E169" s="106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  <c r="CW169" s="91"/>
      <c r="CX169" s="91"/>
      <c r="CY169" s="91"/>
      <c r="CZ169" s="91"/>
      <c r="DA169" s="91"/>
      <c r="DB169" s="91"/>
      <c r="DC169" s="91"/>
      <c r="DD169" s="91"/>
      <c r="DE169" s="91"/>
      <c r="DF169" s="91"/>
      <c r="DG169" s="91"/>
      <c r="DH169" s="91"/>
      <c r="DI169" s="91"/>
      <c r="DJ169" s="91"/>
      <c r="DK169" s="91"/>
      <c r="DL169" s="91"/>
      <c r="DM169" s="91"/>
      <c r="DN169" s="91"/>
      <c r="DO169" s="91"/>
      <c r="DP169" s="91"/>
      <c r="DQ169" s="91"/>
      <c r="DR169" s="91"/>
      <c r="DS169" s="91"/>
      <c r="DT169" s="91"/>
      <c r="DU169" s="91"/>
      <c r="DV169" s="91"/>
      <c r="DW169" s="91"/>
      <c r="DX169" s="91"/>
      <c r="DY169" s="91"/>
      <c r="DZ169" s="91"/>
      <c r="EA169" s="91"/>
      <c r="EB169" s="91"/>
      <c r="EC169" s="91"/>
      <c r="ED169" s="91"/>
      <c r="EE169" s="91"/>
      <c r="EF169" s="91"/>
      <c r="EG169" s="91"/>
      <c r="EH169" s="91"/>
      <c r="EI169" s="91"/>
      <c r="EJ169" s="91"/>
      <c r="EK169" s="91"/>
      <c r="EL169" s="91"/>
      <c r="EM169" s="91"/>
    </row>
    <row r="170" spans="1:143" ht="18.55" customHeight="1" outlineLevel="1"/>
    <row r="171" spans="1:143" ht="20.25" customHeight="1">
      <c r="A171" s="87" t="s">
        <v>195</v>
      </c>
    </row>
    <row r="172" spans="1:143" ht="20.25" customHeight="1" outlineLevel="1">
      <c r="A172" s="92" t="s">
        <v>196</v>
      </c>
      <c r="B172" s="93" t="s">
        <v>197</v>
      </c>
      <c r="C172" s="94" t="s">
        <v>198</v>
      </c>
      <c r="D172" s="94" t="s">
        <v>199</v>
      </c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  <c r="CW172" s="91"/>
      <c r="CX172" s="91"/>
      <c r="CY172" s="91"/>
      <c r="CZ172" s="91"/>
      <c r="DA172" s="91"/>
      <c r="DB172" s="91"/>
      <c r="DC172" s="91"/>
      <c r="DD172" s="91"/>
      <c r="DE172" s="91"/>
      <c r="DF172" s="91"/>
      <c r="DG172" s="91"/>
      <c r="DH172" s="91"/>
      <c r="DI172" s="91"/>
      <c r="DJ172" s="91"/>
      <c r="DK172" s="91"/>
      <c r="DL172" s="91"/>
      <c r="DM172" s="91"/>
      <c r="DN172" s="91"/>
      <c r="DO172" s="91"/>
      <c r="DP172" s="91"/>
      <c r="DQ172" s="91"/>
      <c r="DR172" s="91"/>
      <c r="DS172" s="91"/>
      <c r="DT172" s="91"/>
      <c r="DU172" s="91"/>
      <c r="DV172" s="91"/>
      <c r="DW172" s="91"/>
      <c r="DX172" s="91"/>
      <c r="DY172" s="91"/>
      <c r="DZ172" s="91"/>
      <c r="EA172" s="91"/>
      <c r="EB172" s="91"/>
      <c r="EC172" s="91"/>
      <c r="ED172" s="91"/>
      <c r="EE172" s="91"/>
      <c r="EF172" s="91"/>
      <c r="EG172" s="91"/>
      <c r="EH172" s="91"/>
      <c r="EI172" s="91"/>
      <c r="EJ172" s="91"/>
      <c r="EK172" s="91"/>
      <c r="EL172" s="91"/>
      <c r="EM172" s="91"/>
    </row>
    <row r="173" spans="1:143" ht="20.25" customHeight="1" outlineLevel="1">
      <c r="A173" s="112" t="s">
        <v>200</v>
      </c>
      <c r="B173" s="113"/>
      <c r="C173" s="114">
        <v>46189</v>
      </c>
      <c r="D173" s="114">
        <v>46280</v>
      </c>
      <c r="BZ173" s="1"/>
      <c r="CA173" s="1"/>
    </row>
    <row r="174" spans="1:143" ht="20.25" customHeight="1" outlineLevel="1">
      <c r="A174" s="115" t="s">
        <v>201</v>
      </c>
      <c r="B174" s="116"/>
      <c r="C174" s="117"/>
      <c r="D174" s="117"/>
      <c r="BZ174" s="1"/>
      <c r="CA174" s="1"/>
    </row>
    <row r="175" spans="1:143" ht="21" customHeight="1" outlineLevel="1">
      <c r="A175" s="118" t="s">
        <v>202</v>
      </c>
      <c r="B175" s="119" t="s">
        <v>203</v>
      </c>
      <c r="C175" s="117">
        <v>46195</v>
      </c>
      <c r="D175" s="117">
        <v>46199</v>
      </c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  <c r="CW175" s="91"/>
      <c r="CX175" s="91"/>
      <c r="CY175" s="91"/>
      <c r="CZ175" s="91"/>
      <c r="DA175" s="91"/>
      <c r="DB175" s="91"/>
      <c r="DC175" s="91"/>
      <c r="DD175" s="91"/>
      <c r="DE175" s="91"/>
      <c r="DF175" s="91"/>
      <c r="DG175" s="91"/>
      <c r="DH175" s="91"/>
      <c r="DI175" s="91"/>
      <c r="DJ175" s="91"/>
      <c r="DK175" s="91"/>
      <c r="DL175" s="91"/>
      <c r="DM175" s="91"/>
      <c r="DN175" s="91"/>
      <c r="DO175" s="91"/>
      <c r="DP175" s="91"/>
      <c r="DQ175" s="91"/>
      <c r="DR175" s="91"/>
      <c r="DS175" s="91"/>
      <c r="DT175" s="91"/>
      <c r="DU175" s="91"/>
      <c r="DV175" s="91"/>
      <c r="DW175" s="91"/>
      <c r="DX175" s="91"/>
      <c r="DY175" s="91"/>
      <c r="DZ175" s="91"/>
      <c r="EA175" s="91"/>
      <c r="EB175" s="91"/>
      <c r="EC175" s="91"/>
      <c r="ED175" s="91"/>
      <c r="EE175" s="91"/>
      <c r="EF175" s="91"/>
      <c r="EG175" s="91"/>
      <c r="EH175" s="91"/>
      <c r="EI175" s="91"/>
      <c r="EJ175" s="91"/>
      <c r="EK175" s="91"/>
      <c r="EL175" s="91"/>
      <c r="EM175" s="91"/>
    </row>
    <row r="176" spans="1:143" ht="20.05" customHeight="1" outlineLevel="1">
      <c r="A176" s="118" t="s">
        <v>202</v>
      </c>
      <c r="B176" s="119" t="s">
        <v>204</v>
      </c>
      <c r="C176" s="117">
        <v>46200</v>
      </c>
      <c r="D176" s="117">
        <v>46204</v>
      </c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  <c r="CW176" s="91"/>
      <c r="CX176" s="91"/>
      <c r="CY176" s="91"/>
      <c r="CZ176" s="91"/>
      <c r="DA176" s="91"/>
      <c r="DB176" s="91"/>
      <c r="DC176" s="91"/>
      <c r="DD176" s="91"/>
      <c r="DE176" s="91"/>
      <c r="DF176" s="91"/>
      <c r="DG176" s="91"/>
      <c r="DH176" s="91"/>
      <c r="DI176" s="91"/>
      <c r="DJ176" s="91"/>
      <c r="DK176" s="91"/>
      <c r="DL176" s="91"/>
      <c r="DM176" s="91"/>
      <c r="DN176" s="91"/>
      <c r="DO176" s="91"/>
      <c r="DP176" s="91"/>
      <c r="DQ176" s="91"/>
      <c r="DR176" s="91"/>
      <c r="DS176" s="91"/>
      <c r="DT176" s="91"/>
      <c r="DU176" s="91"/>
      <c r="DV176" s="91"/>
      <c r="DW176" s="91"/>
      <c r="DX176" s="91"/>
      <c r="DY176" s="91"/>
      <c r="DZ176" s="91"/>
      <c r="EA176" s="91"/>
      <c r="EB176" s="91"/>
      <c r="EC176" s="91"/>
      <c r="ED176" s="91"/>
      <c r="EE176" s="91"/>
      <c r="EF176" s="91"/>
      <c r="EG176" s="91"/>
      <c r="EH176" s="91"/>
      <c r="EI176" s="91"/>
      <c r="EJ176" s="91"/>
      <c r="EK176" s="91"/>
      <c r="EL176" s="91"/>
      <c r="EM176" s="91"/>
    </row>
    <row r="177" spans="1:143" ht="20.25" customHeight="1" outlineLevel="1">
      <c r="A177" s="118" t="s">
        <v>202</v>
      </c>
      <c r="B177" s="119" t="s">
        <v>205</v>
      </c>
      <c r="C177" s="117">
        <v>46205</v>
      </c>
      <c r="D177" s="117">
        <v>46209</v>
      </c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  <c r="CW177" s="91"/>
      <c r="CX177" s="91"/>
      <c r="CY177" s="91"/>
      <c r="CZ177" s="91"/>
      <c r="DA177" s="91"/>
      <c r="DB177" s="91"/>
      <c r="DC177" s="91"/>
      <c r="DD177" s="91"/>
      <c r="DE177" s="91"/>
      <c r="DF177" s="91"/>
      <c r="DG177" s="91"/>
      <c r="DH177" s="91"/>
      <c r="DI177" s="91"/>
      <c r="DJ177" s="91"/>
      <c r="DK177" s="91"/>
      <c r="DL177" s="91"/>
      <c r="DM177" s="91"/>
      <c r="DN177" s="91"/>
      <c r="DO177" s="91"/>
      <c r="DP177" s="91"/>
      <c r="DQ177" s="91"/>
      <c r="DR177" s="91"/>
      <c r="DS177" s="91"/>
      <c r="DT177" s="91"/>
      <c r="DU177" s="91"/>
      <c r="DV177" s="91"/>
      <c r="DW177" s="91"/>
      <c r="DX177" s="91"/>
      <c r="DY177" s="91"/>
      <c r="DZ177" s="91"/>
      <c r="EA177" s="91"/>
      <c r="EB177" s="91"/>
      <c r="EC177" s="91"/>
      <c r="ED177" s="91"/>
      <c r="EE177" s="91"/>
      <c r="EF177" s="91"/>
      <c r="EG177" s="91"/>
      <c r="EH177" s="91"/>
      <c r="EI177" s="91"/>
      <c r="EJ177" s="91"/>
      <c r="EK177" s="91"/>
      <c r="EL177" s="91"/>
      <c r="EM177" s="91"/>
    </row>
    <row r="178" spans="1:143" ht="20.05" customHeight="1" outlineLevel="1">
      <c r="A178" s="118" t="s">
        <v>202</v>
      </c>
      <c r="B178" s="119" t="s">
        <v>206</v>
      </c>
      <c r="C178" s="117">
        <v>46210</v>
      </c>
      <c r="D178" s="117">
        <v>46214</v>
      </c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  <c r="DL178" s="91"/>
      <c r="DM178" s="91"/>
      <c r="DN178" s="91"/>
      <c r="DO178" s="91"/>
      <c r="DP178" s="91"/>
      <c r="DQ178" s="91"/>
      <c r="DR178" s="91"/>
      <c r="DS178" s="91"/>
      <c r="DT178" s="91"/>
      <c r="DU178" s="91"/>
      <c r="DV178" s="91"/>
      <c r="DW178" s="91"/>
      <c r="DX178" s="91"/>
      <c r="DY178" s="91"/>
      <c r="DZ178" s="91"/>
      <c r="EA178" s="91"/>
      <c r="EB178" s="91"/>
      <c r="EC178" s="91"/>
      <c r="ED178" s="91"/>
      <c r="EE178" s="91"/>
      <c r="EF178" s="91"/>
      <c r="EG178" s="91"/>
      <c r="EH178" s="91"/>
      <c r="EI178" s="91"/>
      <c r="EJ178" s="91"/>
      <c r="EK178" s="91"/>
      <c r="EL178" s="91"/>
      <c r="EM178" s="91"/>
    </row>
    <row r="179" spans="1:143" ht="20.25" customHeight="1" outlineLevel="1">
      <c r="A179" s="118" t="s">
        <v>202</v>
      </c>
      <c r="B179" s="119" t="s">
        <v>207</v>
      </c>
      <c r="C179" s="117">
        <v>46215</v>
      </c>
      <c r="D179" s="117">
        <v>46219</v>
      </c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  <c r="DH179" s="91"/>
      <c r="DI179" s="91"/>
      <c r="DJ179" s="91"/>
      <c r="DK179" s="91"/>
      <c r="DL179" s="91"/>
      <c r="DM179" s="91"/>
      <c r="DN179" s="91"/>
      <c r="DO179" s="91"/>
      <c r="DP179" s="91"/>
      <c r="DQ179" s="91"/>
      <c r="DR179" s="91"/>
      <c r="DS179" s="91"/>
      <c r="DT179" s="91"/>
      <c r="DU179" s="91"/>
      <c r="DV179" s="91"/>
      <c r="DW179" s="91"/>
      <c r="DX179" s="91"/>
      <c r="DY179" s="91"/>
      <c r="DZ179" s="91"/>
      <c r="EA179" s="91"/>
      <c r="EB179" s="91"/>
      <c r="EC179" s="91"/>
      <c r="ED179" s="91"/>
      <c r="EE179" s="91"/>
      <c r="EF179" s="91"/>
      <c r="EG179" s="91"/>
      <c r="EH179" s="91"/>
      <c r="EI179" s="91"/>
      <c r="EJ179" s="91"/>
      <c r="EK179" s="91"/>
      <c r="EL179" s="91"/>
      <c r="EM179" s="91"/>
    </row>
    <row r="180" spans="1:143" ht="20.05" customHeight="1" outlineLevel="1">
      <c r="A180" s="118" t="s">
        <v>202</v>
      </c>
      <c r="B180" s="119" t="s">
        <v>208</v>
      </c>
      <c r="C180" s="117">
        <v>46220</v>
      </c>
      <c r="D180" s="117">
        <v>46224</v>
      </c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  <c r="DH180" s="91"/>
      <c r="DI180" s="91"/>
      <c r="DJ180" s="91"/>
      <c r="DK180" s="91"/>
      <c r="DL180" s="91"/>
      <c r="DM180" s="91"/>
      <c r="DN180" s="91"/>
      <c r="DO180" s="91"/>
      <c r="DP180" s="91"/>
      <c r="DQ180" s="91"/>
      <c r="DR180" s="91"/>
      <c r="DS180" s="91"/>
      <c r="DT180" s="91"/>
      <c r="DU180" s="91"/>
      <c r="DV180" s="91"/>
      <c r="DW180" s="91"/>
      <c r="DX180" s="91"/>
      <c r="DY180" s="91"/>
      <c r="DZ180" s="91"/>
      <c r="EA180" s="91"/>
      <c r="EB180" s="91"/>
      <c r="EC180" s="91"/>
      <c r="ED180" s="91"/>
      <c r="EE180" s="91"/>
      <c r="EF180" s="91"/>
      <c r="EG180" s="91"/>
      <c r="EH180" s="91"/>
      <c r="EI180" s="91"/>
      <c r="EJ180" s="91"/>
      <c r="EK180" s="91"/>
      <c r="EL180" s="91"/>
      <c r="EM180" s="91"/>
    </row>
    <row r="181" spans="1:143" ht="20.25" customHeight="1" outlineLevel="1">
      <c r="A181" s="118" t="s">
        <v>202</v>
      </c>
      <c r="B181" s="119" t="s">
        <v>209</v>
      </c>
      <c r="C181" s="117">
        <v>46225</v>
      </c>
      <c r="D181" s="117">
        <v>46229</v>
      </c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  <c r="DH181" s="91"/>
      <c r="DI181" s="91"/>
      <c r="DJ181" s="91"/>
      <c r="DK181" s="91"/>
      <c r="DL181" s="91"/>
      <c r="DM181" s="91"/>
      <c r="DN181" s="91"/>
      <c r="DO181" s="91"/>
      <c r="DP181" s="91"/>
      <c r="DQ181" s="91"/>
      <c r="DR181" s="91"/>
      <c r="DS181" s="91"/>
      <c r="DT181" s="91"/>
      <c r="DU181" s="91"/>
      <c r="DV181" s="91"/>
      <c r="DW181" s="91"/>
      <c r="DX181" s="91"/>
      <c r="DY181" s="91"/>
      <c r="DZ181" s="91"/>
      <c r="EA181" s="91"/>
      <c r="EB181" s="91"/>
      <c r="EC181" s="91"/>
      <c r="ED181" s="91"/>
      <c r="EE181" s="91"/>
      <c r="EF181" s="91"/>
      <c r="EG181" s="91"/>
      <c r="EH181" s="91"/>
      <c r="EI181" s="91"/>
      <c r="EJ181" s="91"/>
      <c r="EK181" s="91"/>
      <c r="EL181" s="91"/>
      <c r="EM181" s="91"/>
    </row>
    <row r="182" spans="1:143" ht="20.05" customHeight="1" outlineLevel="1">
      <c r="A182" s="118" t="s">
        <v>202</v>
      </c>
      <c r="B182" s="119" t="s">
        <v>210</v>
      </c>
      <c r="C182" s="117">
        <v>46230</v>
      </c>
      <c r="D182" s="117">
        <v>46233</v>
      </c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  <c r="DH182" s="91"/>
      <c r="DI182" s="91"/>
      <c r="DJ182" s="91"/>
      <c r="DK182" s="91"/>
      <c r="DL182" s="91"/>
      <c r="DM182" s="91"/>
      <c r="DN182" s="91"/>
      <c r="DO182" s="91"/>
      <c r="DP182" s="91"/>
      <c r="DQ182" s="91"/>
      <c r="DR182" s="91"/>
      <c r="DS182" s="91"/>
      <c r="DT182" s="91"/>
      <c r="DU182" s="91"/>
      <c r="DV182" s="91"/>
      <c r="DW182" s="91"/>
      <c r="DX182" s="91"/>
      <c r="DY182" s="91"/>
      <c r="DZ182" s="91"/>
      <c r="EA182" s="91"/>
      <c r="EB182" s="91"/>
      <c r="EC182" s="91"/>
      <c r="ED182" s="91"/>
      <c r="EE182" s="91"/>
      <c r="EF182" s="91"/>
      <c r="EG182" s="91"/>
      <c r="EH182" s="91"/>
      <c r="EI182" s="91"/>
      <c r="EJ182" s="91"/>
      <c r="EK182" s="91"/>
      <c r="EL182" s="91"/>
      <c r="EM182" s="91"/>
    </row>
    <row r="183" spans="1:143" ht="20.05" customHeight="1" outlineLevel="1">
      <c r="A183" s="118" t="s">
        <v>202</v>
      </c>
      <c r="B183" s="119" t="s">
        <v>211</v>
      </c>
      <c r="C183" s="117">
        <v>46234</v>
      </c>
      <c r="D183" s="117">
        <v>46237</v>
      </c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  <c r="DH183" s="91"/>
      <c r="DI183" s="91"/>
      <c r="DJ183" s="91"/>
      <c r="DK183" s="91"/>
      <c r="DL183" s="91"/>
      <c r="DM183" s="91"/>
      <c r="DN183" s="91"/>
      <c r="DO183" s="91"/>
      <c r="DP183" s="91"/>
      <c r="DQ183" s="91"/>
      <c r="DR183" s="91"/>
      <c r="DS183" s="91"/>
      <c r="DT183" s="91"/>
      <c r="DU183" s="91"/>
      <c r="DV183" s="91"/>
      <c r="DW183" s="91"/>
      <c r="DX183" s="91"/>
      <c r="DY183" s="91"/>
      <c r="DZ183" s="91"/>
      <c r="EA183" s="91"/>
      <c r="EB183" s="91"/>
      <c r="EC183" s="91"/>
      <c r="ED183" s="91"/>
      <c r="EE183" s="91"/>
      <c r="EF183" s="91"/>
      <c r="EG183" s="91"/>
      <c r="EH183" s="91"/>
      <c r="EI183" s="91"/>
      <c r="EJ183" s="91"/>
      <c r="EK183" s="91"/>
      <c r="EL183" s="91"/>
      <c r="EM183" s="91"/>
    </row>
    <row r="184" spans="1:143" ht="15" customHeight="1" outlineLevel="1">
      <c r="A184" s="118" t="s">
        <v>202</v>
      </c>
      <c r="B184" s="119" t="s">
        <v>212</v>
      </c>
      <c r="C184" s="117">
        <v>46238</v>
      </c>
      <c r="D184" s="117">
        <v>46241</v>
      </c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  <c r="DH184" s="91"/>
      <c r="DI184" s="91"/>
      <c r="DJ184" s="91"/>
      <c r="DK184" s="91"/>
      <c r="DL184" s="91"/>
      <c r="DM184" s="91"/>
      <c r="DN184" s="91"/>
      <c r="DO184" s="91"/>
      <c r="DP184" s="91"/>
      <c r="DQ184" s="91"/>
      <c r="DR184" s="91"/>
      <c r="DS184" s="91"/>
      <c r="DT184" s="91"/>
      <c r="DU184" s="91"/>
      <c r="DV184" s="91"/>
      <c r="DW184" s="91"/>
      <c r="DX184" s="91"/>
      <c r="DY184" s="91"/>
      <c r="DZ184" s="91"/>
      <c r="EA184" s="91"/>
      <c r="EB184" s="91"/>
      <c r="EC184" s="91"/>
      <c r="ED184" s="91"/>
      <c r="EE184" s="91"/>
      <c r="EF184" s="91"/>
      <c r="EG184" s="91"/>
      <c r="EH184" s="91"/>
      <c r="EI184" s="91"/>
      <c r="EJ184" s="91"/>
      <c r="EK184" s="91"/>
      <c r="EL184" s="91"/>
      <c r="EM184" s="91"/>
    </row>
    <row r="185" spans="1:143" ht="15" customHeight="1" outlineLevel="1">
      <c r="A185" s="118" t="s">
        <v>202</v>
      </c>
      <c r="B185" s="119" t="s">
        <v>213</v>
      </c>
      <c r="C185" s="117">
        <v>46242</v>
      </c>
      <c r="D185" s="117">
        <v>46245</v>
      </c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1"/>
      <c r="DF185" s="91"/>
      <c r="DG185" s="91"/>
      <c r="DH185" s="91"/>
      <c r="DI185" s="91"/>
      <c r="DJ185" s="91"/>
      <c r="DK185" s="91"/>
      <c r="DL185" s="91"/>
      <c r="DM185" s="91"/>
      <c r="DN185" s="91"/>
      <c r="DO185" s="91"/>
      <c r="DP185" s="91"/>
      <c r="DQ185" s="91"/>
      <c r="DR185" s="91"/>
      <c r="DS185" s="91"/>
      <c r="DT185" s="91"/>
      <c r="DU185" s="91"/>
      <c r="DV185" s="91"/>
      <c r="DW185" s="91"/>
      <c r="DX185" s="91"/>
      <c r="DY185" s="91"/>
      <c r="DZ185" s="91"/>
      <c r="EA185" s="91"/>
      <c r="EB185" s="91"/>
      <c r="EC185" s="91"/>
      <c r="ED185" s="91"/>
      <c r="EE185" s="91"/>
      <c r="EF185" s="91"/>
      <c r="EG185" s="91"/>
      <c r="EH185" s="91"/>
      <c r="EI185" s="91"/>
      <c r="EJ185" s="91"/>
      <c r="EK185" s="91"/>
      <c r="EL185" s="91"/>
      <c r="EM185" s="91"/>
    </row>
    <row r="186" spans="1:143" ht="15" customHeight="1" outlineLevel="1">
      <c r="A186" s="118" t="s">
        <v>214</v>
      </c>
      <c r="B186" s="119" t="s">
        <v>215</v>
      </c>
      <c r="C186" s="117">
        <v>46246</v>
      </c>
      <c r="D186" s="117">
        <v>46249</v>
      </c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1"/>
      <c r="DF186" s="91"/>
      <c r="DG186" s="91"/>
      <c r="DH186" s="91"/>
      <c r="DI186" s="91"/>
      <c r="DJ186" s="91"/>
      <c r="DK186" s="91"/>
      <c r="DL186" s="91"/>
      <c r="DM186" s="91"/>
      <c r="DN186" s="91"/>
      <c r="DO186" s="91"/>
      <c r="DP186" s="91"/>
      <c r="DQ186" s="91"/>
      <c r="DR186" s="91"/>
      <c r="DS186" s="91"/>
      <c r="DT186" s="91"/>
      <c r="DU186" s="91"/>
      <c r="DV186" s="91"/>
      <c r="DW186" s="91"/>
      <c r="DX186" s="91"/>
      <c r="DY186" s="91"/>
      <c r="DZ186" s="91"/>
      <c r="EA186" s="91"/>
      <c r="EB186" s="91"/>
      <c r="EC186" s="91"/>
      <c r="ED186" s="91"/>
      <c r="EE186" s="91"/>
      <c r="EF186" s="91"/>
      <c r="EG186" s="91"/>
      <c r="EH186" s="91"/>
      <c r="EI186" s="91"/>
      <c r="EJ186" s="91"/>
      <c r="EK186" s="91"/>
      <c r="EL186" s="91"/>
      <c r="EM186" s="91"/>
    </row>
    <row r="187" spans="1:143" ht="15" customHeight="1" outlineLevel="1">
      <c r="A187" s="118" t="s">
        <v>214</v>
      </c>
      <c r="B187" s="119" t="s">
        <v>216</v>
      </c>
      <c r="C187" s="117">
        <v>46250</v>
      </c>
      <c r="D187" s="117">
        <v>46253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91"/>
      <c r="DU187" s="91"/>
      <c r="DV187" s="91"/>
      <c r="DW187" s="91"/>
      <c r="DX187" s="91"/>
      <c r="DY187" s="91"/>
      <c r="DZ187" s="91"/>
      <c r="EA187" s="91"/>
      <c r="EB187" s="91"/>
      <c r="EC187" s="91"/>
      <c r="ED187" s="91"/>
      <c r="EE187" s="91"/>
      <c r="EF187" s="91"/>
      <c r="EG187" s="91"/>
      <c r="EH187" s="91"/>
      <c r="EI187" s="91"/>
      <c r="EJ187" s="91"/>
      <c r="EK187" s="91"/>
      <c r="EL187" s="91"/>
      <c r="EM187" s="91"/>
    </row>
    <row r="188" spans="1:143" ht="15" customHeight="1" outlineLevel="1">
      <c r="A188" s="118" t="s">
        <v>217</v>
      </c>
      <c r="B188" s="119" t="s">
        <v>218</v>
      </c>
      <c r="C188" s="117">
        <v>46195</v>
      </c>
      <c r="D188" s="117">
        <v>46203</v>
      </c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1"/>
      <c r="DF188" s="91"/>
      <c r="DG188" s="91"/>
      <c r="DH188" s="91"/>
      <c r="DI188" s="91"/>
      <c r="DJ188" s="91"/>
      <c r="DK188" s="91"/>
      <c r="DL188" s="91"/>
      <c r="DM188" s="91"/>
      <c r="DN188" s="91"/>
      <c r="DO188" s="91"/>
      <c r="DP188" s="91"/>
      <c r="DQ188" s="91"/>
      <c r="DR188" s="91"/>
      <c r="DS188" s="91"/>
      <c r="DT188" s="91"/>
      <c r="DU188" s="91"/>
      <c r="DV188" s="91"/>
      <c r="DW188" s="91"/>
      <c r="DX188" s="91"/>
      <c r="DY188" s="91"/>
      <c r="DZ188" s="91"/>
      <c r="EA188" s="91"/>
      <c r="EB188" s="91"/>
      <c r="EC188" s="91"/>
      <c r="ED188" s="91"/>
      <c r="EE188" s="91"/>
      <c r="EF188" s="91"/>
      <c r="EG188" s="91"/>
      <c r="EH188" s="91"/>
      <c r="EI188" s="91"/>
      <c r="EJ188" s="91"/>
      <c r="EK188" s="91"/>
      <c r="EL188" s="91"/>
      <c r="EM188" s="91"/>
    </row>
    <row r="189" spans="1:143" ht="15" customHeight="1" outlineLevel="1">
      <c r="A189" s="118" t="s">
        <v>217</v>
      </c>
      <c r="B189" s="119" t="s">
        <v>219</v>
      </c>
      <c r="C189" s="117">
        <v>46204</v>
      </c>
      <c r="D189" s="117">
        <v>46212</v>
      </c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1"/>
      <c r="DF189" s="91"/>
      <c r="DG189" s="91"/>
      <c r="DH189" s="91"/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91"/>
      <c r="DU189" s="91"/>
      <c r="DV189" s="91"/>
      <c r="DW189" s="91"/>
      <c r="DX189" s="91"/>
      <c r="DY189" s="91"/>
      <c r="DZ189" s="91"/>
      <c r="EA189" s="91"/>
      <c r="EB189" s="91"/>
      <c r="EC189" s="91"/>
      <c r="ED189" s="91"/>
      <c r="EE189" s="91"/>
      <c r="EF189" s="91"/>
      <c r="EG189" s="91"/>
      <c r="EH189" s="91"/>
      <c r="EI189" s="91"/>
      <c r="EJ189" s="91"/>
      <c r="EK189" s="91"/>
      <c r="EL189" s="91"/>
      <c r="EM189" s="91"/>
    </row>
    <row r="190" spans="1:143" ht="14.8" customHeight="1" outlineLevel="1">
      <c r="A190" s="118" t="s">
        <v>217</v>
      </c>
      <c r="B190" s="119" t="s">
        <v>220</v>
      </c>
      <c r="C190" s="117">
        <v>46213</v>
      </c>
      <c r="D190" s="117">
        <v>46221</v>
      </c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1"/>
      <c r="DF190" s="91"/>
      <c r="DG190" s="91"/>
      <c r="DH190" s="91"/>
      <c r="DI190" s="91"/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91"/>
      <c r="DU190" s="91"/>
      <c r="DV190" s="91"/>
      <c r="DW190" s="91"/>
      <c r="DX190" s="91"/>
      <c r="DY190" s="91"/>
      <c r="DZ190" s="91"/>
      <c r="EA190" s="91"/>
      <c r="EB190" s="91"/>
      <c r="EC190" s="91"/>
      <c r="ED190" s="91"/>
      <c r="EE190" s="91"/>
      <c r="EF190" s="91"/>
      <c r="EG190" s="91"/>
      <c r="EH190" s="91"/>
      <c r="EI190" s="91"/>
      <c r="EJ190" s="91"/>
      <c r="EK190" s="91"/>
      <c r="EL190" s="91"/>
      <c r="EM190" s="91"/>
    </row>
    <row r="191" spans="1:143" ht="15" customHeight="1" outlineLevel="1">
      <c r="A191" s="118" t="s">
        <v>217</v>
      </c>
      <c r="B191" s="119" t="s">
        <v>221</v>
      </c>
      <c r="C191" s="117">
        <v>46222</v>
      </c>
      <c r="D191" s="117">
        <v>46229</v>
      </c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1"/>
      <c r="DF191" s="91"/>
      <c r="DG191" s="91"/>
      <c r="DH191" s="91"/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91"/>
      <c r="DU191" s="91"/>
      <c r="DV191" s="91"/>
      <c r="DW191" s="91"/>
      <c r="DX191" s="91"/>
      <c r="DY191" s="91"/>
      <c r="DZ191" s="91"/>
      <c r="EA191" s="91"/>
      <c r="EB191" s="91"/>
      <c r="EC191" s="91"/>
      <c r="ED191" s="91"/>
      <c r="EE191" s="91"/>
      <c r="EF191" s="91"/>
      <c r="EG191" s="91"/>
      <c r="EH191" s="91"/>
      <c r="EI191" s="91"/>
      <c r="EJ191" s="91"/>
      <c r="EK191" s="91"/>
      <c r="EL191" s="91"/>
      <c r="EM191" s="91"/>
    </row>
    <row r="192" spans="1:143" ht="15" customHeight="1" outlineLevel="1">
      <c r="A192" s="118" t="s">
        <v>222</v>
      </c>
      <c r="B192" s="119" t="s">
        <v>223</v>
      </c>
      <c r="C192" s="117">
        <v>46230</v>
      </c>
      <c r="D192" s="117">
        <v>46237</v>
      </c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1"/>
      <c r="DF192" s="91"/>
      <c r="DG192" s="91"/>
      <c r="DH192" s="91"/>
      <c r="DI192" s="91"/>
      <c r="DJ192" s="91"/>
      <c r="DK192" s="91"/>
      <c r="DL192" s="91"/>
      <c r="DM192" s="91"/>
      <c r="DN192" s="91"/>
      <c r="DO192" s="91"/>
      <c r="DP192" s="91"/>
      <c r="DQ192" s="91"/>
      <c r="DR192" s="91"/>
      <c r="DS192" s="91"/>
      <c r="DT192" s="91"/>
      <c r="DU192" s="91"/>
      <c r="DV192" s="91"/>
      <c r="DW192" s="91"/>
      <c r="DX192" s="91"/>
      <c r="DY192" s="91"/>
      <c r="DZ192" s="91"/>
      <c r="EA192" s="91"/>
      <c r="EB192" s="91"/>
      <c r="EC192" s="91"/>
      <c r="ED192" s="91"/>
      <c r="EE192" s="91"/>
      <c r="EF192" s="91"/>
      <c r="EG192" s="91"/>
      <c r="EH192" s="91"/>
      <c r="EI192" s="91"/>
      <c r="EJ192" s="91"/>
      <c r="EK192" s="91"/>
      <c r="EL192" s="91"/>
      <c r="EM192" s="91"/>
    </row>
    <row r="193" spans="1:143" ht="15" customHeight="1" outlineLevel="1">
      <c r="A193" s="118" t="s">
        <v>222</v>
      </c>
      <c r="B193" s="119" t="s">
        <v>224</v>
      </c>
      <c r="C193" s="117">
        <v>46238</v>
      </c>
      <c r="D193" s="117">
        <v>46245</v>
      </c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1"/>
      <c r="DF193" s="91"/>
      <c r="DG193" s="91"/>
      <c r="DH193" s="91"/>
      <c r="DI193" s="91"/>
      <c r="DJ193" s="91"/>
      <c r="DK193" s="91"/>
      <c r="DL193" s="91"/>
      <c r="DM193" s="91"/>
      <c r="DN193" s="91"/>
      <c r="DO193" s="91"/>
      <c r="DP193" s="91"/>
      <c r="DQ193" s="91"/>
      <c r="DR193" s="91"/>
      <c r="DS193" s="91"/>
      <c r="DT193" s="91"/>
      <c r="DU193" s="91"/>
      <c r="DV193" s="91"/>
      <c r="DW193" s="91"/>
      <c r="DX193" s="91"/>
      <c r="DY193" s="91"/>
      <c r="DZ193" s="91"/>
      <c r="EA193" s="91"/>
      <c r="EB193" s="91"/>
      <c r="EC193" s="91"/>
      <c r="ED193" s="91"/>
      <c r="EE193" s="91"/>
      <c r="EF193" s="91"/>
      <c r="EG193" s="91"/>
      <c r="EH193" s="91"/>
      <c r="EI193" s="91"/>
      <c r="EJ193" s="91"/>
      <c r="EK193" s="91"/>
      <c r="EL193" s="91"/>
      <c r="EM193" s="91"/>
    </row>
    <row r="194" spans="1:143" ht="15" customHeight="1" outlineLevel="1">
      <c r="A194" s="118" t="s">
        <v>225</v>
      </c>
      <c r="B194" s="119" t="s">
        <v>226</v>
      </c>
      <c r="C194" s="117">
        <v>46246</v>
      </c>
      <c r="D194" s="117">
        <v>46253</v>
      </c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  <c r="DH194" s="91"/>
      <c r="DI194" s="91"/>
      <c r="DJ194" s="91"/>
      <c r="DK194" s="91"/>
      <c r="DL194" s="91"/>
      <c r="DM194" s="91"/>
      <c r="DN194" s="91"/>
      <c r="DO194" s="91"/>
      <c r="DP194" s="91"/>
      <c r="DQ194" s="91"/>
      <c r="DR194" s="91"/>
      <c r="DS194" s="91"/>
      <c r="DT194" s="91"/>
      <c r="DU194" s="91"/>
      <c r="DV194" s="91"/>
      <c r="DW194" s="91"/>
      <c r="DX194" s="91"/>
      <c r="DY194" s="91"/>
      <c r="DZ194" s="91"/>
      <c r="EA194" s="91"/>
      <c r="EB194" s="91"/>
      <c r="EC194" s="91"/>
      <c r="ED194" s="91"/>
      <c r="EE194" s="91"/>
      <c r="EF194" s="91"/>
      <c r="EG194" s="91"/>
      <c r="EH194" s="91"/>
      <c r="EI194" s="91"/>
      <c r="EJ194" s="91"/>
      <c r="EK194" s="91"/>
      <c r="EL194" s="91"/>
      <c r="EM194" s="91"/>
    </row>
    <row r="195" spans="1:143" ht="15" customHeight="1" outlineLevel="1">
      <c r="A195" s="115" t="s">
        <v>227</v>
      </c>
      <c r="B195" s="120"/>
      <c r="C195" s="117"/>
      <c r="D195" s="1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</row>
    <row r="196" spans="1:143" ht="15" customHeight="1" outlineLevel="1">
      <c r="A196" s="118" t="s">
        <v>214</v>
      </c>
      <c r="B196" s="119" t="s">
        <v>228</v>
      </c>
      <c r="C196" s="117">
        <v>46212</v>
      </c>
      <c r="D196" s="117">
        <v>46218</v>
      </c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91"/>
      <c r="CQ196" s="91"/>
      <c r="CR196" s="91"/>
      <c r="CS196" s="91"/>
      <c r="CT196" s="91"/>
      <c r="CU196" s="91"/>
      <c r="CV196" s="91"/>
      <c r="CW196" s="91"/>
      <c r="CX196" s="91"/>
      <c r="CY196" s="91"/>
      <c r="CZ196" s="91"/>
      <c r="DA196" s="91"/>
      <c r="DB196" s="91"/>
      <c r="DC196" s="91"/>
      <c r="DD196" s="91"/>
      <c r="DE196" s="91"/>
      <c r="DF196" s="91"/>
      <c r="DG196" s="91"/>
      <c r="DH196" s="91"/>
      <c r="DI196" s="91"/>
      <c r="DJ196" s="91"/>
      <c r="DK196" s="91"/>
      <c r="DL196" s="91"/>
      <c r="DM196" s="91"/>
      <c r="DN196" s="91"/>
      <c r="DO196" s="91"/>
      <c r="DP196" s="91"/>
      <c r="DQ196" s="91"/>
      <c r="DR196" s="91"/>
      <c r="DS196" s="91"/>
      <c r="DT196" s="91"/>
      <c r="DU196" s="91"/>
      <c r="DV196" s="91"/>
      <c r="DW196" s="91"/>
      <c r="DX196" s="91"/>
      <c r="DY196" s="91"/>
      <c r="DZ196" s="91"/>
      <c r="EA196" s="91"/>
      <c r="EB196" s="91"/>
      <c r="EC196" s="91"/>
      <c r="ED196" s="91"/>
      <c r="EE196" s="91"/>
      <c r="EF196" s="91"/>
      <c r="EG196" s="91"/>
      <c r="EH196" s="91"/>
      <c r="EI196" s="91"/>
      <c r="EJ196" s="91"/>
      <c r="EK196" s="91"/>
      <c r="EL196" s="91"/>
      <c r="EM196" s="91"/>
    </row>
    <row r="197" spans="1:143" ht="15" customHeight="1" outlineLevel="1">
      <c r="A197" s="118" t="s">
        <v>202</v>
      </c>
      <c r="B197" s="119" t="s">
        <v>229</v>
      </c>
      <c r="C197" s="117">
        <v>46211</v>
      </c>
      <c r="D197" s="117">
        <v>46217</v>
      </c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91"/>
      <c r="CQ197" s="91"/>
      <c r="CR197" s="91"/>
      <c r="CS197" s="91"/>
      <c r="CT197" s="91"/>
      <c r="CU197" s="91"/>
      <c r="CV197" s="91"/>
      <c r="CW197" s="91"/>
      <c r="CX197" s="91"/>
      <c r="CY197" s="91"/>
      <c r="CZ197" s="91"/>
      <c r="DA197" s="91"/>
      <c r="DB197" s="91"/>
      <c r="DC197" s="91"/>
      <c r="DD197" s="91"/>
      <c r="DE197" s="91"/>
      <c r="DF197" s="91"/>
      <c r="DG197" s="91"/>
      <c r="DH197" s="91"/>
      <c r="DI197" s="91"/>
      <c r="DJ197" s="91"/>
      <c r="DK197" s="91"/>
      <c r="DL197" s="91"/>
      <c r="DM197" s="91"/>
      <c r="DN197" s="91"/>
      <c r="DO197" s="91"/>
      <c r="DP197" s="91"/>
      <c r="DQ197" s="91"/>
      <c r="DR197" s="91"/>
      <c r="DS197" s="91"/>
      <c r="DT197" s="91"/>
      <c r="DU197" s="91"/>
      <c r="DV197" s="91"/>
      <c r="DW197" s="91"/>
      <c r="DX197" s="91"/>
      <c r="DY197" s="91"/>
      <c r="DZ197" s="91"/>
      <c r="EA197" s="91"/>
      <c r="EB197" s="91"/>
      <c r="EC197" s="91"/>
      <c r="ED197" s="91"/>
      <c r="EE197" s="91"/>
      <c r="EF197" s="91"/>
      <c r="EG197" s="91"/>
      <c r="EH197" s="91"/>
      <c r="EI197" s="91"/>
      <c r="EJ197" s="91"/>
      <c r="EK197" s="91"/>
      <c r="EL197" s="91"/>
      <c r="EM197" s="91"/>
    </row>
    <row r="198" spans="1:143" ht="15" customHeight="1" outlineLevel="1">
      <c r="A198" s="118" t="s">
        <v>202</v>
      </c>
      <c r="B198" s="119" t="s">
        <v>230</v>
      </c>
      <c r="C198" s="117">
        <v>46216</v>
      </c>
      <c r="D198" s="117">
        <v>46220</v>
      </c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91"/>
      <c r="CQ198" s="91"/>
      <c r="CR198" s="91"/>
      <c r="CS198" s="91"/>
      <c r="CT198" s="91"/>
      <c r="CU198" s="91"/>
      <c r="CV198" s="91"/>
      <c r="CW198" s="91"/>
      <c r="CX198" s="91"/>
      <c r="CY198" s="91"/>
      <c r="CZ198" s="91"/>
      <c r="DA198" s="91"/>
      <c r="DB198" s="91"/>
      <c r="DC198" s="91"/>
      <c r="DD198" s="91"/>
      <c r="DE198" s="91"/>
      <c r="DF198" s="91"/>
      <c r="DG198" s="91"/>
      <c r="DH198" s="91"/>
      <c r="DI198" s="91"/>
      <c r="DJ198" s="91"/>
      <c r="DK198" s="91"/>
      <c r="DL198" s="91"/>
      <c r="DM198" s="91"/>
      <c r="DN198" s="91"/>
      <c r="DO198" s="91"/>
      <c r="DP198" s="91"/>
      <c r="DQ198" s="91"/>
      <c r="DR198" s="91"/>
      <c r="DS198" s="91"/>
      <c r="DT198" s="91"/>
      <c r="DU198" s="91"/>
      <c r="DV198" s="91"/>
      <c r="DW198" s="91"/>
      <c r="DX198" s="91"/>
      <c r="DY198" s="91"/>
      <c r="DZ198" s="91"/>
      <c r="EA198" s="91"/>
      <c r="EB198" s="91"/>
      <c r="EC198" s="91"/>
      <c r="ED198" s="91"/>
      <c r="EE198" s="91"/>
      <c r="EF198" s="91"/>
      <c r="EG198" s="91"/>
      <c r="EH198" s="91"/>
      <c r="EI198" s="91"/>
      <c r="EJ198" s="91"/>
      <c r="EK198" s="91"/>
      <c r="EL198" s="91"/>
      <c r="EM198" s="91"/>
    </row>
    <row r="199" spans="1:143" ht="15" customHeight="1" outlineLevel="1">
      <c r="A199" s="118" t="s">
        <v>202</v>
      </c>
      <c r="B199" s="119" t="s">
        <v>231</v>
      </c>
      <c r="C199" s="117">
        <v>46216</v>
      </c>
      <c r="D199" s="117">
        <v>46220</v>
      </c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  <c r="DH199" s="91"/>
      <c r="DI199" s="91"/>
      <c r="DJ199" s="91"/>
      <c r="DK199" s="91"/>
      <c r="DL199" s="91"/>
      <c r="DM199" s="91"/>
      <c r="DN199" s="91"/>
      <c r="DO199" s="91"/>
      <c r="DP199" s="91"/>
      <c r="DQ199" s="91"/>
      <c r="DR199" s="91"/>
      <c r="DS199" s="91"/>
      <c r="DT199" s="91"/>
      <c r="DU199" s="91"/>
      <c r="DV199" s="91"/>
      <c r="DW199" s="91"/>
      <c r="DX199" s="91"/>
      <c r="DY199" s="91"/>
      <c r="DZ199" s="91"/>
      <c r="EA199" s="91"/>
      <c r="EB199" s="91"/>
      <c r="EC199" s="91"/>
      <c r="ED199" s="91"/>
      <c r="EE199" s="91"/>
      <c r="EF199" s="91"/>
      <c r="EG199" s="91"/>
      <c r="EH199" s="91"/>
      <c r="EI199" s="91"/>
      <c r="EJ199" s="91"/>
      <c r="EK199" s="91"/>
      <c r="EL199" s="91"/>
      <c r="EM199" s="91"/>
    </row>
    <row r="200" spans="1:143" ht="15" customHeight="1" outlineLevel="1">
      <c r="A200" s="118" t="s">
        <v>202</v>
      </c>
      <c r="B200" s="119" t="s">
        <v>232</v>
      </c>
      <c r="C200" s="117">
        <v>46216</v>
      </c>
      <c r="D200" s="117">
        <v>46234</v>
      </c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  <c r="DP200" s="91"/>
      <c r="DQ200" s="91"/>
      <c r="DR200" s="91"/>
      <c r="DS200" s="91"/>
      <c r="DT200" s="91"/>
      <c r="DU200" s="91"/>
      <c r="DV200" s="91"/>
      <c r="DW200" s="91"/>
      <c r="DX200" s="91"/>
      <c r="DY200" s="91"/>
      <c r="DZ200" s="91"/>
      <c r="EA200" s="91"/>
      <c r="EB200" s="91"/>
      <c r="EC200" s="91"/>
      <c r="ED200" s="91"/>
      <c r="EE200" s="91"/>
      <c r="EF200" s="91"/>
      <c r="EG200" s="91"/>
      <c r="EH200" s="91"/>
      <c r="EI200" s="91"/>
      <c r="EJ200" s="91"/>
      <c r="EK200" s="91"/>
      <c r="EL200" s="91"/>
      <c r="EM200" s="91"/>
    </row>
    <row r="201" spans="1:143" ht="15" customHeight="1" outlineLevel="1">
      <c r="A201" s="118" t="s">
        <v>202</v>
      </c>
      <c r="B201" s="119" t="s">
        <v>233</v>
      </c>
      <c r="C201" s="117">
        <v>46216</v>
      </c>
      <c r="D201" s="117">
        <v>46234</v>
      </c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  <c r="DP201" s="91"/>
      <c r="DQ201" s="91"/>
      <c r="DR201" s="91"/>
      <c r="DS201" s="91"/>
      <c r="DT201" s="91"/>
      <c r="DU201" s="91"/>
      <c r="DV201" s="91"/>
      <c r="DW201" s="91"/>
      <c r="DX201" s="91"/>
      <c r="DY201" s="91"/>
      <c r="DZ201" s="91"/>
      <c r="EA201" s="91"/>
      <c r="EB201" s="91"/>
      <c r="EC201" s="91"/>
      <c r="ED201" s="91"/>
      <c r="EE201" s="91"/>
      <c r="EF201" s="91"/>
      <c r="EG201" s="91"/>
      <c r="EH201" s="91"/>
      <c r="EI201" s="91"/>
      <c r="EJ201" s="91"/>
      <c r="EK201" s="91"/>
      <c r="EL201" s="91"/>
      <c r="EM201" s="91"/>
    </row>
    <row r="202" spans="1:143" ht="15" customHeight="1" outlineLevel="1">
      <c r="A202" s="118" t="s">
        <v>202</v>
      </c>
      <c r="B202" s="119" t="s">
        <v>234</v>
      </c>
      <c r="C202" s="117">
        <v>46216</v>
      </c>
      <c r="D202" s="117">
        <v>46234</v>
      </c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1"/>
      <c r="DT202" s="91"/>
      <c r="DU202" s="91"/>
      <c r="DV202" s="91"/>
      <c r="DW202" s="91"/>
      <c r="DX202" s="91"/>
      <c r="DY202" s="91"/>
      <c r="DZ202" s="91"/>
      <c r="EA202" s="91"/>
      <c r="EB202" s="91"/>
      <c r="EC202" s="91"/>
      <c r="ED202" s="91"/>
      <c r="EE202" s="91"/>
      <c r="EF202" s="91"/>
      <c r="EG202" s="91"/>
      <c r="EH202" s="91"/>
      <c r="EI202" s="91"/>
      <c r="EJ202" s="91"/>
      <c r="EK202" s="91"/>
      <c r="EL202" s="91"/>
      <c r="EM202" s="91"/>
    </row>
    <row r="203" spans="1:143" ht="15" customHeight="1" outlineLevel="1">
      <c r="A203" s="118" t="s">
        <v>202</v>
      </c>
      <c r="B203" s="119" t="s">
        <v>235</v>
      </c>
      <c r="C203" s="117">
        <v>46216</v>
      </c>
      <c r="D203" s="117">
        <v>46227</v>
      </c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  <c r="DP203" s="91"/>
      <c r="DQ203" s="91"/>
      <c r="DR203" s="91"/>
      <c r="DS203" s="91"/>
      <c r="DT203" s="91"/>
      <c r="DU203" s="91"/>
      <c r="DV203" s="91"/>
      <c r="DW203" s="91"/>
      <c r="DX203" s="91"/>
      <c r="DY203" s="91"/>
      <c r="DZ203" s="91"/>
      <c r="EA203" s="91"/>
      <c r="EB203" s="91"/>
      <c r="EC203" s="91"/>
      <c r="ED203" s="91"/>
      <c r="EE203" s="91"/>
      <c r="EF203" s="91"/>
      <c r="EG203" s="91"/>
      <c r="EH203" s="91"/>
      <c r="EI203" s="91"/>
      <c r="EJ203" s="91"/>
      <c r="EK203" s="91"/>
      <c r="EL203" s="91"/>
      <c r="EM203" s="91"/>
    </row>
    <row r="204" spans="1:143" ht="15" customHeight="1" outlineLevel="1">
      <c r="A204" s="118" t="s">
        <v>202</v>
      </c>
      <c r="B204" s="119" t="s">
        <v>236</v>
      </c>
      <c r="C204" s="117">
        <v>46216</v>
      </c>
      <c r="D204" s="117">
        <v>46220</v>
      </c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DY204" s="91"/>
      <c r="DZ204" s="91"/>
      <c r="EA204" s="91"/>
      <c r="EB204" s="91"/>
      <c r="EC204" s="91"/>
      <c r="ED204" s="91"/>
      <c r="EE204" s="91"/>
      <c r="EF204" s="91"/>
      <c r="EG204" s="91"/>
      <c r="EH204" s="91"/>
      <c r="EI204" s="91"/>
      <c r="EJ204" s="91"/>
      <c r="EK204" s="91"/>
      <c r="EL204" s="91"/>
      <c r="EM204" s="91"/>
    </row>
    <row r="205" spans="1:143" ht="15" customHeight="1" outlineLevel="1">
      <c r="A205" s="118" t="s">
        <v>202</v>
      </c>
      <c r="B205" s="119" t="s">
        <v>237</v>
      </c>
      <c r="C205" s="117">
        <v>46212</v>
      </c>
      <c r="D205" s="117">
        <v>46239</v>
      </c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  <c r="DP205" s="91"/>
      <c r="DQ205" s="91"/>
      <c r="DR205" s="91"/>
      <c r="DS205" s="91"/>
      <c r="DT205" s="91"/>
      <c r="DU205" s="91"/>
      <c r="DV205" s="91"/>
      <c r="DW205" s="91"/>
      <c r="DX205" s="91"/>
      <c r="DY205" s="91"/>
      <c r="DZ205" s="91"/>
      <c r="EA205" s="91"/>
      <c r="EB205" s="91"/>
      <c r="EC205" s="91"/>
      <c r="ED205" s="91"/>
      <c r="EE205" s="91"/>
      <c r="EF205" s="91"/>
      <c r="EG205" s="91"/>
      <c r="EH205" s="91"/>
      <c r="EI205" s="91"/>
      <c r="EJ205" s="91"/>
      <c r="EK205" s="91"/>
      <c r="EL205" s="91"/>
      <c r="EM205" s="91"/>
    </row>
    <row r="206" spans="1:143" ht="15" customHeight="1" outlineLevel="1">
      <c r="A206" s="118" t="s">
        <v>202</v>
      </c>
      <c r="B206" s="119" t="s">
        <v>238</v>
      </c>
      <c r="C206" s="117">
        <v>46212</v>
      </c>
      <c r="D206" s="117">
        <v>46253</v>
      </c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  <c r="DH206" s="91"/>
      <c r="DI206" s="91"/>
      <c r="DJ206" s="91"/>
      <c r="DK206" s="91"/>
      <c r="DL206" s="91"/>
      <c r="DM206" s="91"/>
      <c r="DN206" s="91"/>
      <c r="DO206" s="91"/>
      <c r="DP206" s="91"/>
      <c r="DQ206" s="91"/>
      <c r="DR206" s="91"/>
      <c r="DS206" s="91"/>
      <c r="DT206" s="91"/>
      <c r="DU206" s="91"/>
      <c r="DV206" s="91"/>
      <c r="DW206" s="91"/>
      <c r="DX206" s="91"/>
      <c r="DY206" s="91"/>
      <c r="DZ206" s="91"/>
      <c r="EA206" s="91"/>
      <c r="EB206" s="91"/>
      <c r="EC206" s="91"/>
      <c r="ED206" s="91"/>
      <c r="EE206" s="91"/>
      <c r="EF206" s="91"/>
      <c r="EG206" s="91"/>
      <c r="EH206" s="91"/>
      <c r="EI206" s="91"/>
      <c r="EJ206" s="91"/>
      <c r="EK206" s="91"/>
      <c r="EL206" s="91"/>
      <c r="EM206" s="91"/>
    </row>
    <row r="207" spans="1:143" ht="15" customHeight="1" outlineLevel="1">
      <c r="A207" s="118" t="s">
        <v>239</v>
      </c>
      <c r="B207" s="119" t="s">
        <v>218</v>
      </c>
      <c r="C207" s="117">
        <v>46209</v>
      </c>
      <c r="D207" s="117">
        <v>46211</v>
      </c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1"/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</row>
    <row r="208" spans="1:143" ht="15" customHeight="1" outlineLevel="1">
      <c r="A208" s="118" t="s">
        <v>239</v>
      </c>
      <c r="B208" s="119" t="s">
        <v>219</v>
      </c>
      <c r="C208" s="117">
        <v>46209</v>
      </c>
      <c r="D208" s="117">
        <v>46211</v>
      </c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1"/>
      <c r="DS208" s="91"/>
      <c r="DT208" s="91"/>
      <c r="DU208" s="91"/>
      <c r="DV208" s="91"/>
      <c r="DW208" s="91"/>
      <c r="DX208" s="91"/>
      <c r="DY208" s="91"/>
      <c r="DZ208" s="91"/>
      <c r="EA208" s="91"/>
      <c r="EB208" s="91"/>
      <c r="EC208" s="91"/>
      <c r="ED208" s="91"/>
      <c r="EE208" s="91"/>
      <c r="EF208" s="91"/>
      <c r="EG208" s="91"/>
      <c r="EH208" s="91"/>
      <c r="EI208" s="91"/>
      <c r="EJ208" s="91"/>
      <c r="EK208" s="91"/>
      <c r="EL208" s="91"/>
      <c r="EM208" s="91"/>
    </row>
    <row r="209" spans="1:143" ht="15" customHeight="1" outlineLevel="1">
      <c r="A209" s="118" t="s">
        <v>239</v>
      </c>
      <c r="B209" s="119" t="s">
        <v>220</v>
      </c>
      <c r="C209" s="117">
        <v>46209</v>
      </c>
      <c r="D209" s="117">
        <v>46211</v>
      </c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1"/>
      <c r="DS209" s="91"/>
      <c r="DT209" s="91"/>
      <c r="DU209" s="91"/>
      <c r="DV209" s="91"/>
      <c r="DW209" s="91"/>
      <c r="DX209" s="91"/>
      <c r="DY209" s="91"/>
      <c r="DZ209" s="91"/>
      <c r="EA209" s="91"/>
      <c r="EB209" s="91"/>
      <c r="EC209" s="91"/>
      <c r="ED209" s="91"/>
      <c r="EE209" s="91"/>
      <c r="EF209" s="91"/>
      <c r="EG209" s="91"/>
      <c r="EH209" s="91"/>
      <c r="EI209" s="91"/>
      <c r="EJ209" s="91"/>
      <c r="EK209" s="91"/>
      <c r="EL209" s="91"/>
      <c r="EM209" s="91"/>
    </row>
    <row r="210" spans="1:143" ht="15" customHeight="1" outlineLevel="1">
      <c r="A210" s="118" t="s">
        <v>239</v>
      </c>
      <c r="B210" s="119" t="s">
        <v>221</v>
      </c>
      <c r="C210" s="117">
        <v>46209</v>
      </c>
      <c r="D210" s="117">
        <v>46211</v>
      </c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1"/>
      <c r="DS210" s="91"/>
      <c r="DT210" s="91"/>
      <c r="DU210" s="91"/>
      <c r="DV210" s="91"/>
      <c r="DW210" s="91"/>
      <c r="DX210" s="91"/>
      <c r="DY210" s="91"/>
      <c r="DZ210" s="91"/>
      <c r="EA210" s="91"/>
      <c r="EB210" s="91"/>
      <c r="EC210" s="91"/>
      <c r="ED210" s="91"/>
      <c r="EE210" s="91"/>
      <c r="EF210" s="91"/>
      <c r="EG210" s="91"/>
      <c r="EH210" s="91"/>
      <c r="EI210" s="91"/>
      <c r="EJ210" s="91"/>
      <c r="EK210" s="91"/>
      <c r="EL210" s="91"/>
      <c r="EM210" s="91"/>
    </row>
    <row r="211" spans="1:143" ht="15" customHeight="1" outlineLevel="1">
      <c r="A211" s="118" t="s">
        <v>239</v>
      </c>
      <c r="B211" s="119" t="s">
        <v>223</v>
      </c>
      <c r="C211" s="117">
        <v>46230</v>
      </c>
      <c r="D211" s="117">
        <v>46237</v>
      </c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  <c r="DH211" s="91"/>
      <c r="DI211" s="91"/>
      <c r="DJ211" s="91"/>
      <c r="DK211" s="91"/>
      <c r="DL211" s="91"/>
      <c r="DM211" s="91"/>
      <c r="DN211" s="91"/>
      <c r="DO211" s="91"/>
      <c r="DP211" s="91"/>
      <c r="DQ211" s="91"/>
      <c r="DR211" s="91"/>
      <c r="DS211" s="91"/>
      <c r="DT211" s="91"/>
      <c r="DU211" s="91"/>
      <c r="DV211" s="91"/>
      <c r="DW211" s="91"/>
      <c r="DX211" s="91"/>
      <c r="DY211" s="91"/>
      <c r="DZ211" s="91"/>
      <c r="EA211" s="91"/>
      <c r="EB211" s="91"/>
      <c r="EC211" s="91"/>
      <c r="ED211" s="91"/>
      <c r="EE211" s="91"/>
      <c r="EF211" s="91"/>
      <c r="EG211" s="91"/>
      <c r="EH211" s="91"/>
      <c r="EI211" s="91"/>
      <c r="EJ211" s="91"/>
      <c r="EK211" s="91"/>
      <c r="EL211" s="91"/>
      <c r="EM211" s="91"/>
    </row>
    <row r="212" spans="1:143" ht="15" customHeight="1" outlineLevel="1">
      <c r="A212" s="118" t="s">
        <v>239</v>
      </c>
      <c r="B212" s="119" t="s">
        <v>224</v>
      </c>
      <c r="C212" s="117">
        <v>46238</v>
      </c>
      <c r="D212" s="117">
        <v>46245</v>
      </c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  <c r="DH212" s="91"/>
      <c r="DI212" s="91"/>
      <c r="DJ212" s="91"/>
      <c r="DK212" s="91"/>
      <c r="DL212" s="91"/>
      <c r="DM212" s="91"/>
      <c r="DN212" s="91"/>
      <c r="DO212" s="91"/>
      <c r="DP212" s="91"/>
      <c r="DQ212" s="91"/>
      <c r="DR212" s="91"/>
      <c r="DS212" s="91"/>
      <c r="DT212" s="91"/>
      <c r="DU212" s="91"/>
      <c r="DV212" s="91"/>
      <c r="DW212" s="91"/>
      <c r="DX212" s="91"/>
      <c r="DY212" s="91"/>
      <c r="DZ212" s="91"/>
      <c r="EA212" s="91"/>
      <c r="EB212" s="91"/>
      <c r="EC212" s="91"/>
      <c r="ED212" s="91"/>
      <c r="EE212" s="91"/>
      <c r="EF212" s="91"/>
      <c r="EG212" s="91"/>
      <c r="EH212" s="91"/>
      <c r="EI212" s="91"/>
      <c r="EJ212" s="91"/>
      <c r="EK212" s="91"/>
      <c r="EL212" s="91"/>
      <c r="EM212" s="91"/>
    </row>
    <row r="213" spans="1:143" ht="15" customHeight="1" outlineLevel="1">
      <c r="A213" s="118" t="s">
        <v>239</v>
      </c>
      <c r="B213" s="119" t="s">
        <v>226</v>
      </c>
      <c r="C213" s="117">
        <v>46246</v>
      </c>
      <c r="D213" s="117">
        <v>46253</v>
      </c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  <c r="DH213" s="91"/>
      <c r="DI213" s="91"/>
      <c r="DJ213" s="91"/>
      <c r="DK213" s="91"/>
      <c r="DL213" s="91"/>
      <c r="DM213" s="91"/>
      <c r="DN213" s="91"/>
      <c r="DO213" s="91"/>
      <c r="DP213" s="91"/>
      <c r="DQ213" s="91"/>
      <c r="DR213" s="91"/>
      <c r="DS213" s="91"/>
      <c r="DT213" s="91"/>
      <c r="DU213" s="91"/>
      <c r="DV213" s="91"/>
      <c r="DW213" s="91"/>
      <c r="DX213" s="91"/>
      <c r="DY213" s="91"/>
      <c r="DZ213" s="91"/>
      <c r="EA213" s="91"/>
      <c r="EB213" s="91"/>
      <c r="EC213" s="91"/>
      <c r="ED213" s="91"/>
      <c r="EE213" s="91"/>
      <c r="EF213" s="91"/>
      <c r="EG213" s="91"/>
      <c r="EH213" s="91"/>
      <c r="EI213" s="91"/>
      <c r="EJ213" s="91"/>
      <c r="EK213" s="91"/>
      <c r="EL213" s="91"/>
      <c r="EM213" s="91"/>
    </row>
    <row r="214" spans="1:143" ht="15" customHeight="1" outlineLevel="1">
      <c r="A214" s="118" t="s">
        <v>240</v>
      </c>
      <c r="B214" s="119" t="s">
        <v>241</v>
      </c>
      <c r="C214" s="117">
        <v>46209</v>
      </c>
      <c r="D214" s="117">
        <v>46213</v>
      </c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  <c r="DP214" s="91"/>
      <c r="DQ214" s="91"/>
      <c r="DR214" s="91"/>
      <c r="DS214" s="91"/>
      <c r="DT214" s="91"/>
      <c r="DU214" s="91"/>
      <c r="DV214" s="91"/>
      <c r="DW214" s="91"/>
      <c r="DX214" s="91"/>
      <c r="DY214" s="91"/>
      <c r="DZ214" s="91"/>
      <c r="EA214" s="91"/>
      <c r="EB214" s="91"/>
      <c r="EC214" s="91"/>
      <c r="ED214" s="91"/>
      <c r="EE214" s="91"/>
      <c r="EF214" s="91"/>
      <c r="EG214" s="91"/>
      <c r="EH214" s="91"/>
      <c r="EI214" s="91"/>
      <c r="EJ214" s="91"/>
      <c r="EK214" s="91"/>
      <c r="EL214" s="91"/>
      <c r="EM214" s="91"/>
    </row>
    <row r="215" spans="1:143" ht="15" customHeight="1" outlineLevel="1">
      <c r="A215" s="118" t="s">
        <v>240</v>
      </c>
      <c r="B215" s="119" t="s">
        <v>242</v>
      </c>
      <c r="C215" s="117">
        <v>46209</v>
      </c>
      <c r="D215" s="117">
        <v>46210</v>
      </c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  <c r="DW215" s="91"/>
      <c r="DX215" s="91"/>
      <c r="DY215" s="91"/>
      <c r="DZ215" s="91"/>
      <c r="EA215" s="91"/>
      <c r="EB215" s="91"/>
      <c r="EC215" s="91"/>
      <c r="ED215" s="91"/>
      <c r="EE215" s="91"/>
      <c r="EF215" s="91"/>
      <c r="EG215" s="91"/>
      <c r="EH215" s="91"/>
      <c r="EI215" s="91"/>
      <c r="EJ215" s="91"/>
      <c r="EK215" s="91"/>
      <c r="EL215" s="91"/>
      <c r="EM215" s="91"/>
    </row>
    <row r="216" spans="1:143" ht="15" customHeight="1" outlineLevel="1">
      <c r="A216" s="118" t="s">
        <v>240</v>
      </c>
      <c r="B216" s="119" t="s">
        <v>243</v>
      </c>
      <c r="C216" s="117">
        <v>46209</v>
      </c>
      <c r="D216" s="117">
        <v>46210</v>
      </c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  <c r="DU216" s="91"/>
      <c r="DV216" s="91"/>
      <c r="DW216" s="91"/>
      <c r="DX216" s="91"/>
      <c r="DY216" s="91"/>
      <c r="DZ216" s="91"/>
      <c r="EA216" s="91"/>
      <c r="EB216" s="91"/>
      <c r="EC216" s="91"/>
      <c r="ED216" s="91"/>
      <c r="EE216" s="91"/>
      <c r="EF216" s="91"/>
      <c r="EG216" s="91"/>
      <c r="EH216" s="91"/>
      <c r="EI216" s="91"/>
      <c r="EJ216" s="91"/>
      <c r="EK216" s="91"/>
      <c r="EL216" s="91"/>
      <c r="EM216" s="91"/>
    </row>
    <row r="217" spans="1:143" ht="15" customHeight="1" outlineLevel="1">
      <c r="A217" s="118" t="s">
        <v>240</v>
      </c>
      <c r="B217" s="119" t="s">
        <v>244</v>
      </c>
      <c r="C217" s="117">
        <v>46209</v>
      </c>
      <c r="D217" s="117">
        <v>46210</v>
      </c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  <c r="DH217" s="91"/>
      <c r="DI217" s="91"/>
      <c r="DJ217" s="91"/>
      <c r="DK217" s="91"/>
      <c r="DL217" s="91"/>
      <c r="DM217" s="91"/>
      <c r="DN217" s="91"/>
      <c r="DO217" s="91"/>
      <c r="DP217" s="91"/>
      <c r="DQ217" s="91"/>
      <c r="DR217" s="91"/>
      <c r="DS217" s="91"/>
      <c r="DT217" s="91"/>
      <c r="DU217" s="91"/>
      <c r="DV217" s="91"/>
      <c r="DW217" s="91"/>
      <c r="DX217" s="91"/>
      <c r="DY217" s="91"/>
      <c r="DZ217" s="91"/>
      <c r="EA217" s="91"/>
      <c r="EB217" s="91"/>
      <c r="EC217" s="91"/>
      <c r="ED217" s="91"/>
      <c r="EE217" s="91"/>
      <c r="EF217" s="91"/>
      <c r="EG217" s="91"/>
      <c r="EH217" s="91"/>
      <c r="EI217" s="91"/>
      <c r="EJ217" s="91"/>
      <c r="EK217" s="91"/>
      <c r="EL217" s="91"/>
      <c r="EM217" s="91"/>
    </row>
    <row r="218" spans="1:143" ht="15" customHeight="1" outlineLevel="1">
      <c r="A218" s="118" t="s">
        <v>245</v>
      </c>
      <c r="B218" s="119" t="s">
        <v>246</v>
      </c>
      <c r="C218" s="117">
        <v>46212</v>
      </c>
      <c r="D218" s="117">
        <v>46218</v>
      </c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  <c r="DH218" s="91"/>
      <c r="DI218" s="91"/>
      <c r="DJ218" s="91"/>
      <c r="DK218" s="91"/>
      <c r="DL218" s="91"/>
      <c r="DM218" s="91"/>
      <c r="DN218" s="91"/>
      <c r="DO218" s="91"/>
      <c r="DP218" s="91"/>
      <c r="DQ218" s="91"/>
      <c r="DR218" s="91"/>
      <c r="DS218" s="91"/>
      <c r="DT218" s="91"/>
      <c r="DU218" s="91"/>
      <c r="DV218" s="91"/>
      <c r="DW218" s="91"/>
      <c r="DX218" s="91"/>
      <c r="DY218" s="91"/>
      <c r="DZ218" s="91"/>
      <c r="EA218" s="91"/>
      <c r="EB218" s="91"/>
      <c r="EC218" s="91"/>
      <c r="ED218" s="91"/>
      <c r="EE218" s="91"/>
      <c r="EF218" s="91"/>
      <c r="EG218" s="91"/>
      <c r="EH218" s="91"/>
      <c r="EI218" s="91"/>
      <c r="EJ218" s="91"/>
      <c r="EK218" s="91"/>
      <c r="EL218" s="91"/>
      <c r="EM218" s="91"/>
    </row>
    <row r="219" spans="1:143" ht="20.149999999999999" customHeight="1" outlineLevel="1">
      <c r="A219" s="118" t="s">
        <v>245</v>
      </c>
      <c r="B219" s="119" t="s">
        <v>247</v>
      </c>
      <c r="C219" s="117">
        <v>46216</v>
      </c>
      <c r="D219" s="117">
        <v>46220</v>
      </c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  <c r="DH219" s="91"/>
      <c r="DI219" s="91"/>
      <c r="DJ219" s="91"/>
      <c r="DK219" s="91"/>
      <c r="DL219" s="91"/>
      <c r="DM219" s="91"/>
      <c r="DN219" s="91"/>
      <c r="DO219" s="91"/>
      <c r="DP219" s="91"/>
      <c r="DQ219" s="91"/>
      <c r="DR219" s="91"/>
      <c r="DS219" s="91"/>
      <c r="DT219" s="91"/>
      <c r="DU219" s="91"/>
      <c r="DV219" s="91"/>
      <c r="DW219" s="91"/>
      <c r="DX219" s="91"/>
      <c r="DY219" s="91"/>
      <c r="DZ219" s="91"/>
      <c r="EA219" s="91"/>
      <c r="EB219" s="91"/>
      <c r="EC219" s="91"/>
      <c r="ED219" s="91"/>
      <c r="EE219" s="91"/>
      <c r="EF219" s="91"/>
      <c r="EG219" s="91"/>
      <c r="EH219" s="91"/>
      <c r="EI219" s="91"/>
      <c r="EJ219" s="91"/>
      <c r="EK219" s="91"/>
      <c r="EL219" s="91"/>
      <c r="EM219" s="91"/>
    </row>
    <row r="220" spans="1:143" ht="15" customHeight="1" outlineLevel="1">
      <c r="A220" s="118" t="s">
        <v>245</v>
      </c>
      <c r="B220" s="119" t="s">
        <v>248</v>
      </c>
      <c r="C220" s="117">
        <v>46217</v>
      </c>
      <c r="D220" s="117">
        <v>46220</v>
      </c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  <c r="DH220" s="91"/>
      <c r="DI220" s="91"/>
      <c r="DJ220" s="91"/>
      <c r="DK220" s="91"/>
      <c r="DL220" s="91"/>
      <c r="DM220" s="91"/>
      <c r="DN220" s="91"/>
      <c r="DO220" s="91"/>
      <c r="DP220" s="91"/>
      <c r="DQ220" s="91"/>
      <c r="DR220" s="91"/>
      <c r="DS220" s="91"/>
      <c r="DT220" s="91"/>
      <c r="DU220" s="91"/>
      <c r="DV220" s="91"/>
      <c r="DW220" s="91"/>
      <c r="DX220" s="91"/>
      <c r="DY220" s="91"/>
      <c r="DZ220" s="91"/>
      <c r="EA220" s="91"/>
      <c r="EB220" s="91"/>
      <c r="EC220" s="91"/>
      <c r="ED220" s="91"/>
      <c r="EE220" s="91"/>
      <c r="EF220" s="91"/>
      <c r="EG220" s="91"/>
      <c r="EH220" s="91"/>
      <c r="EI220" s="91"/>
      <c r="EJ220" s="91"/>
      <c r="EK220" s="91"/>
      <c r="EL220" s="91"/>
      <c r="EM220" s="91"/>
    </row>
    <row r="221" spans="1:143" ht="15" customHeight="1" outlineLevel="1">
      <c r="A221" s="118" t="s">
        <v>245</v>
      </c>
      <c r="B221" s="119" t="s">
        <v>249</v>
      </c>
      <c r="C221" s="117">
        <v>46211</v>
      </c>
      <c r="D221" s="117">
        <v>46217</v>
      </c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  <c r="DH221" s="91"/>
      <c r="DI221" s="91"/>
      <c r="DJ221" s="91"/>
      <c r="DK221" s="91"/>
      <c r="DL221" s="91"/>
      <c r="DM221" s="91"/>
      <c r="DN221" s="91"/>
      <c r="DO221" s="91"/>
      <c r="DP221" s="91"/>
      <c r="DQ221" s="91"/>
      <c r="DR221" s="91"/>
      <c r="DS221" s="91"/>
      <c r="DT221" s="91"/>
      <c r="DU221" s="91"/>
      <c r="DV221" s="91"/>
      <c r="DW221" s="91"/>
      <c r="DX221" s="91"/>
      <c r="DY221" s="91"/>
      <c r="DZ221" s="91"/>
      <c r="EA221" s="91"/>
      <c r="EB221" s="91"/>
      <c r="EC221" s="91"/>
      <c r="ED221" s="91"/>
      <c r="EE221" s="91"/>
      <c r="EF221" s="91"/>
      <c r="EG221" s="91"/>
      <c r="EH221" s="91"/>
      <c r="EI221" s="91"/>
      <c r="EJ221" s="91"/>
      <c r="EK221" s="91"/>
      <c r="EL221" s="91"/>
      <c r="EM221" s="91"/>
    </row>
    <row r="222" spans="1:143" ht="15" customHeight="1" outlineLevel="1">
      <c r="A222" s="118" t="s">
        <v>245</v>
      </c>
      <c r="B222" s="119" t="s">
        <v>250</v>
      </c>
      <c r="C222" s="117">
        <v>46211</v>
      </c>
      <c r="D222" s="117">
        <v>46217</v>
      </c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  <c r="DH222" s="91"/>
      <c r="DI222" s="91"/>
      <c r="DJ222" s="91"/>
      <c r="DK222" s="91"/>
      <c r="DL222" s="91"/>
      <c r="DM222" s="91"/>
      <c r="DN222" s="91"/>
      <c r="DO222" s="91"/>
      <c r="DP222" s="91"/>
      <c r="DQ222" s="91"/>
      <c r="DR222" s="91"/>
      <c r="DS222" s="91"/>
      <c r="DT222" s="91"/>
      <c r="DU222" s="91"/>
      <c r="DV222" s="91"/>
      <c r="DW222" s="91"/>
      <c r="DX222" s="91"/>
      <c r="DY222" s="91"/>
      <c r="DZ222" s="91"/>
      <c r="EA222" s="91"/>
      <c r="EB222" s="91"/>
      <c r="EC222" s="91"/>
      <c r="ED222" s="91"/>
      <c r="EE222" s="91"/>
      <c r="EF222" s="91"/>
      <c r="EG222" s="91"/>
      <c r="EH222" s="91"/>
      <c r="EI222" s="91"/>
      <c r="EJ222" s="91"/>
      <c r="EK222" s="91"/>
      <c r="EL222" s="91"/>
      <c r="EM222" s="91"/>
    </row>
    <row r="223" spans="1:143" ht="20.149999999999999" customHeight="1" outlineLevel="1">
      <c r="A223" s="118" t="s">
        <v>245</v>
      </c>
      <c r="B223" s="119" t="s">
        <v>251</v>
      </c>
      <c r="C223" s="117">
        <v>46254</v>
      </c>
      <c r="D223" s="117">
        <v>46274</v>
      </c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  <c r="DH223" s="91"/>
      <c r="DI223" s="91"/>
      <c r="DJ223" s="91"/>
      <c r="DK223" s="91"/>
      <c r="DL223" s="91"/>
      <c r="DM223" s="91"/>
      <c r="DN223" s="91"/>
      <c r="DO223" s="91"/>
      <c r="DP223" s="91"/>
      <c r="DQ223" s="91"/>
      <c r="DR223" s="91"/>
      <c r="DS223" s="91"/>
      <c r="DT223" s="91"/>
      <c r="DU223" s="91"/>
      <c r="DV223" s="91"/>
      <c r="DW223" s="91"/>
      <c r="DX223" s="91"/>
      <c r="DY223" s="91"/>
      <c r="DZ223" s="91"/>
      <c r="EA223" s="91"/>
      <c r="EB223" s="91"/>
      <c r="EC223" s="91"/>
      <c r="ED223" s="91"/>
      <c r="EE223" s="91"/>
      <c r="EF223" s="91"/>
      <c r="EG223" s="91"/>
      <c r="EH223" s="91"/>
      <c r="EI223" s="91"/>
      <c r="EJ223" s="91"/>
      <c r="EK223" s="91"/>
      <c r="EL223" s="91"/>
      <c r="EM223" s="91"/>
    </row>
    <row r="224" spans="1:143" ht="14.8" customHeight="1" outlineLevel="1">
      <c r="A224" s="121" t="s">
        <v>252</v>
      </c>
      <c r="B224" s="122"/>
      <c r="C224" s="123">
        <v>46254</v>
      </c>
      <c r="D224" s="123">
        <v>46264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</row>
    <row r="225" spans="1:143" ht="15" customHeight="1" outlineLevel="1">
      <c r="A225" s="118"/>
      <c r="B225" s="124" t="s">
        <v>253</v>
      </c>
      <c r="C225" s="117">
        <v>46254</v>
      </c>
      <c r="D225" s="117">
        <v>46264</v>
      </c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  <c r="DH225" s="91"/>
      <c r="DI225" s="91"/>
      <c r="DJ225" s="91"/>
      <c r="DK225" s="91"/>
      <c r="DL225" s="91"/>
      <c r="DM225" s="91"/>
      <c r="DN225" s="91"/>
      <c r="DO225" s="91"/>
      <c r="DP225" s="91"/>
      <c r="DQ225" s="91"/>
      <c r="DR225" s="91"/>
      <c r="DS225" s="91"/>
      <c r="DT225" s="91"/>
      <c r="DU225" s="91"/>
      <c r="DV225" s="91"/>
      <c r="DW225" s="91"/>
      <c r="DX225" s="91"/>
      <c r="DY225" s="91"/>
      <c r="DZ225" s="91"/>
      <c r="EA225" s="91"/>
      <c r="EB225" s="91"/>
      <c r="EC225" s="91"/>
      <c r="ED225" s="91"/>
      <c r="EE225" s="91"/>
      <c r="EF225" s="91"/>
      <c r="EG225" s="91"/>
      <c r="EH225" s="91"/>
      <c r="EI225" s="91"/>
      <c r="EJ225" s="91"/>
      <c r="EK225" s="91"/>
      <c r="EL225" s="91"/>
      <c r="EM225" s="91"/>
    </row>
    <row r="226" spans="1:143" ht="15" customHeight="1" outlineLevel="1">
      <c r="A226" s="118"/>
      <c r="B226" s="124" t="s">
        <v>254</v>
      </c>
      <c r="C226" s="117">
        <v>46254</v>
      </c>
      <c r="D226" s="117">
        <v>46264</v>
      </c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  <c r="DP226" s="91"/>
      <c r="DQ226" s="91"/>
      <c r="DR226" s="91"/>
      <c r="DS226" s="91"/>
      <c r="DT226" s="91"/>
      <c r="DU226" s="91"/>
      <c r="DV226" s="91"/>
      <c r="DW226" s="91"/>
      <c r="DX226" s="91"/>
      <c r="DY226" s="91"/>
      <c r="DZ226" s="91"/>
      <c r="EA226" s="91"/>
      <c r="EB226" s="91"/>
      <c r="EC226" s="91"/>
      <c r="ED226" s="91"/>
      <c r="EE226" s="91"/>
      <c r="EF226" s="91"/>
      <c r="EG226" s="91"/>
      <c r="EH226" s="91"/>
      <c r="EI226" s="91"/>
      <c r="EJ226" s="91"/>
      <c r="EK226" s="91"/>
      <c r="EL226" s="91"/>
      <c r="EM226" s="91"/>
    </row>
    <row r="227" spans="1:143" ht="15" customHeight="1" outlineLevel="1">
      <c r="A227" s="118"/>
      <c r="B227" s="124" t="s">
        <v>255</v>
      </c>
      <c r="C227" s="117">
        <v>46259</v>
      </c>
      <c r="D227" s="117">
        <v>46264</v>
      </c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  <c r="DH227" s="91"/>
      <c r="DI227" s="91"/>
      <c r="DJ227" s="91"/>
      <c r="DK227" s="91"/>
      <c r="DL227" s="91"/>
      <c r="DM227" s="91"/>
      <c r="DN227" s="91"/>
      <c r="DO227" s="91"/>
      <c r="DP227" s="91"/>
      <c r="DQ227" s="91"/>
      <c r="DR227" s="91"/>
      <c r="DS227" s="91"/>
      <c r="DT227" s="91"/>
      <c r="DU227" s="91"/>
      <c r="DV227" s="91"/>
      <c r="DW227" s="91"/>
      <c r="DX227" s="91"/>
      <c r="DY227" s="91"/>
      <c r="DZ227" s="91"/>
      <c r="EA227" s="91"/>
      <c r="EB227" s="91"/>
      <c r="EC227" s="91"/>
      <c r="ED227" s="91"/>
      <c r="EE227" s="91"/>
      <c r="EF227" s="91"/>
      <c r="EG227" s="91"/>
      <c r="EH227" s="91"/>
      <c r="EI227" s="91"/>
      <c r="EJ227" s="91"/>
      <c r="EK227" s="91"/>
      <c r="EL227" s="91"/>
      <c r="EM227" s="91"/>
    </row>
    <row r="228" spans="1:143" ht="15" customHeight="1" outlineLevel="1">
      <c r="A228" s="121" t="s">
        <v>256</v>
      </c>
      <c r="B228" s="122"/>
      <c r="C228" s="123">
        <v>46263</v>
      </c>
      <c r="D228" s="123">
        <v>46293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</row>
    <row r="229" spans="1:143" ht="15" customHeight="1" outlineLevel="1">
      <c r="A229" s="115" t="s">
        <v>257</v>
      </c>
      <c r="B229" s="116"/>
      <c r="C229" s="125"/>
      <c r="D229" s="12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</row>
    <row r="230" spans="1:143" ht="15" customHeight="1" outlineLevel="1">
      <c r="A230" s="118" t="s">
        <v>217</v>
      </c>
      <c r="B230" s="119" t="s">
        <v>218</v>
      </c>
      <c r="C230" s="117">
        <v>46249</v>
      </c>
      <c r="D230" s="117">
        <v>46254</v>
      </c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  <c r="DH230" s="91"/>
      <c r="DI230" s="91"/>
      <c r="DJ230" s="91"/>
      <c r="DK230" s="91"/>
      <c r="DL230" s="91"/>
      <c r="DM230" s="91"/>
      <c r="DN230" s="91"/>
      <c r="DO230" s="91"/>
      <c r="DP230" s="91"/>
      <c r="DQ230" s="91"/>
      <c r="DR230" s="91"/>
      <c r="DS230" s="91"/>
      <c r="DT230" s="91"/>
      <c r="DU230" s="91"/>
      <c r="DV230" s="91"/>
      <c r="DW230" s="91"/>
      <c r="DX230" s="91"/>
      <c r="DY230" s="91"/>
      <c r="DZ230" s="91"/>
      <c r="EA230" s="91"/>
      <c r="EB230" s="91"/>
      <c r="EC230" s="91"/>
      <c r="ED230" s="91"/>
      <c r="EE230" s="91"/>
      <c r="EF230" s="91"/>
      <c r="EG230" s="91"/>
      <c r="EH230" s="91"/>
      <c r="EI230" s="91"/>
      <c r="EJ230" s="91"/>
      <c r="EK230" s="91"/>
      <c r="EL230" s="91"/>
      <c r="EM230" s="91"/>
    </row>
    <row r="231" spans="1:143" ht="15" customHeight="1" outlineLevel="1">
      <c r="A231" s="118" t="s">
        <v>217</v>
      </c>
      <c r="B231" s="119" t="s">
        <v>219</v>
      </c>
      <c r="C231" s="117">
        <v>46249</v>
      </c>
      <c r="D231" s="117">
        <v>46254</v>
      </c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  <c r="DH231" s="91"/>
      <c r="DI231" s="91"/>
      <c r="DJ231" s="91"/>
      <c r="DK231" s="91"/>
      <c r="DL231" s="91"/>
      <c r="DM231" s="91"/>
      <c r="DN231" s="91"/>
      <c r="DO231" s="91"/>
      <c r="DP231" s="91"/>
      <c r="DQ231" s="91"/>
      <c r="DR231" s="91"/>
      <c r="DS231" s="91"/>
      <c r="DT231" s="91"/>
      <c r="DU231" s="91"/>
      <c r="DV231" s="91"/>
      <c r="DW231" s="91"/>
      <c r="DX231" s="91"/>
      <c r="DY231" s="91"/>
      <c r="DZ231" s="91"/>
      <c r="EA231" s="91"/>
      <c r="EB231" s="91"/>
      <c r="EC231" s="91"/>
      <c r="ED231" s="91"/>
      <c r="EE231" s="91"/>
      <c r="EF231" s="91"/>
      <c r="EG231" s="91"/>
      <c r="EH231" s="91"/>
      <c r="EI231" s="91"/>
      <c r="EJ231" s="91"/>
      <c r="EK231" s="91"/>
      <c r="EL231" s="91"/>
      <c r="EM231" s="91"/>
    </row>
    <row r="232" spans="1:143" ht="14.8" customHeight="1" outlineLevel="1">
      <c r="A232" s="118" t="s">
        <v>217</v>
      </c>
      <c r="B232" s="119" t="s">
        <v>220</v>
      </c>
      <c r="C232" s="117">
        <v>46283</v>
      </c>
      <c r="D232" s="117">
        <v>46285</v>
      </c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  <c r="DH232" s="91"/>
      <c r="DI232" s="91"/>
      <c r="DJ232" s="91"/>
      <c r="DK232" s="91"/>
      <c r="DL232" s="91"/>
      <c r="DM232" s="91"/>
      <c r="DN232" s="91"/>
      <c r="DO232" s="91"/>
      <c r="DP232" s="91"/>
      <c r="DQ232" s="91"/>
      <c r="DR232" s="91"/>
      <c r="DS232" s="91"/>
      <c r="DT232" s="91"/>
      <c r="DU232" s="91"/>
      <c r="DV232" s="91"/>
      <c r="DW232" s="91"/>
      <c r="DX232" s="91"/>
      <c r="DY232" s="91"/>
      <c r="DZ232" s="91"/>
      <c r="EA232" s="91"/>
      <c r="EB232" s="91"/>
      <c r="EC232" s="91"/>
      <c r="ED232" s="91"/>
      <c r="EE232" s="91"/>
      <c r="EF232" s="91"/>
      <c r="EG232" s="91"/>
      <c r="EH232" s="91"/>
      <c r="EI232" s="91"/>
      <c r="EJ232" s="91"/>
      <c r="EK232" s="91"/>
      <c r="EL232" s="91"/>
      <c r="EM232" s="91"/>
    </row>
    <row r="233" spans="1:143" ht="15" customHeight="1" outlineLevel="1">
      <c r="A233" s="118" t="s">
        <v>217</v>
      </c>
      <c r="B233" s="119" t="s">
        <v>221</v>
      </c>
      <c r="C233" s="117">
        <v>46286</v>
      </c>
      <c r="D233" s="117">
        <v>46288</v>
      </c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  <c r="DH233" s="91"/>
      <c r="DI233" s="91"/>
      <c r="DJ233" s="91"/>
      <c r="DK233" s="91"/>
      <c r="DL233" s="91"/>
      <c r="DM233" s="91"/>
      <c r="DN233" s="91"/>
      <c r="DO233" s="91"/>
      <c r="DP233" s="91"/>
      <c r="DQ233" s="91"/>
      <c r="DR233" s="91"/>
      <c r="DS233" s="91"/>
      <c r="DT233" s="91"/>
      <c r="DU233" s="91"/>
      <c r="DV233" s="91"/>
      <c r="DW233" s="91"/>
      <c r="DX233" s="91"/>
      <c r="DY233" s="91"/>
      <c r="DZ233" s="91"/>
      <c r="EA233" s="91"/>
      <c r="EB233" s="91"/>
      <c r="EC233" s="91"/>
      <c r="ED233" s="91"/>
      <c r="EE233" s="91"/>
      <c r="EF233" s="91"/>
      <c r="EG233" s="91"/>
      <c r="EH233" s="91"/>
      <c r="EI233" s="91"/>
      <c r="EJ233" s="91"/>
      <c r="EK233" s="91"/>
      <c r="EL233" s="91"/>
      <c r="EM233" s="91"/>
    </row>
    <row r="234" spans="1:143" ht="15" customHeight="1" outlineLevel="1">
      <c r="A234" s="118" t="s">
        <v>222</v>
      </c>
      <c r="B234" s="119" t="s">
        <v>223</v>
      </c>
      <c r="C234" s="117">
        <v>46289</v>
      </c>
      <c r="D234" s="117">
        <v>46293</v>
      </c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  <c r="DH234" s="91"/>
      <c r="DI234" s="91"/>
      <c r="DJ234" s="91"/>
      <c r="DK234" s="91"/>
      <c r="DL234" s="91"/>
      <c r="DM234" s="91"/>
      <c r="DN234" s="91"/>
      <c r="DO234" s="91"/>
      <c r="DP234" s="91"/>
      <c r="DQ234" s="91"/>
      <c r="DR234" s="91"/>
      <c r="DS234" s="91"/>
      <c r="DT234" s="91"/>
      <c r="DU234" s="91"/>
      <c r="DV234" s="91"/>
      <c r="DW234" s="91"/>
      <c r="DX234" s="91"/>
      <c r="DY234" s="91"/>
      <c r="DZ234" s="91"/>
      <c r="EA234" s="91"/>
      <c r="EB234" s="91"/>
      <c r="EC234" s="91"/>
      <c r="ED234" s="91"/>
      <c r="EE234" s="91"/>
      <c r="EF234" s="91"/>
      <c r="EG234" s="91"/>
      <c r="EH234" s="91"/>
      <c r="EI234" s="91"/>
      <c r="EJ234" s="91"/>
      <c r="EK234" s="91"/>
      <c r="EL234" s="91"/>
      <c r="EM234" s="91"/>
    </row>
    <row r="235" spans="1:143" ht="15" customHeight="1" outlineLevel="1">
      <c r="A235" s="118" t="s">
        <v>222</v>
      </c>
      <c r="B235" s="119" t="s">
        <v>224</v>
      </c>
      <c r="C235" s="117">
        <v>46294</v>
      </c>
      <c r="D235" s="117">
        <v>46295</v>
      </c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  <c r="DH235" s="91"/>
      <c r="DI235" s="91"/>
      <c r="DJ235" s="91"/>
      <c r="DK235" s="91"/>
      <c r="DL235" s="91"/>
      <c r="DM235" s="91"/>
      <c r="DN235" s="91"/>
      <c r="DO235" s="91"/>
      <c r="DP235" s="91"/>
      <c r="DQ235" s="91"/>
      <c r="DR235" s="91"/>
      <c r="DS235" s="91"/>
      <c r="DT235" s="91"/>
      <c r="DU235" s="91"/>
      <c r="DV235" s="91"/>
      <c r="DW235" s="91"/>
      <c r="DX235" s="91"/>
      <c r="DY235" s="91"/>
      <c r="DZ235" s="91"/>
      <c r="EA235" s="91"/>
      <c r="EB235" s="91"/>
      <c r="EC235" s="91"/>
      <c r="ED235" s="91"/>
      <c r="EE235" s="91"/>
      <c r="EF235" s="91"/>
      <c r="EG235" s="91"/>
      <c r="EH235" s="91"/>
      <c r="EI235" s="91"/>
      <c r="EJ235" s="91"/>
      <c r="EK235" s="91"/>
      <c r="EL235" s="91"/>
      <c r="EM235" s="91"/>
    </row>
    <row r="236" spans="1:143" ht="15" customHeight="1" outlineLevel="1">
      <c r="A236" s="118" t="s">
        <v>225</v>
      </c>
      <c r="B236" s="119" t="s">
        <v>226</v>
      </c>
      <c r="C236" s="117">
        <v>46303</v>
      </c>
      <c r="D236" s="117">
        <v>46305</v>
      </c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  <c r="DH236" s="91"/>
      <c r="DI236" s="91"/>
      <c r="DJ236" s="91"/>
      <c r="DK236" s="91"/>
      <c r="DL236" s="91"/>
      <c r="DM236" s="91"/>
      <c r="DN236" s="91"/>
      <c r="DO236" s="91"/>
      <c r="DP236" s="91"/>
      <c r="DQ236" s="91"/>
      <c r="DR236" s="91"/>
      <c r="DS236" s="91"/>
      <c r="DT236" s="91"/>
      <c r="DU236" s="91"/>
      <c r="DV236" s="91"/>
      <c r="DW236" s="91"/>
      <c r="DX236" s="91"/>
      <c r="DY236" s="91"/>
      <c r="DZ236" s="91"/>
      <c r="EA236" s="91"/>
      <c r="EB236" s="91"/>
      <c r="EC236" s="91"/>
      <c r="ED236" s="91"/>
      <c r="EE236" s="91"/>
      <c r="EF236" s="91"/>
      <c r="EG236" s="91"/>
      <c r="EH236" s="91"/>
      <c r="EI236" s="91"/>
      <c r="EJ236" s="91"/>
      <c r="EK236" s="91"/>
      <c r="EL236" s="91"/>
      <c r="EM236" s="91"/>
    </row>
    <row r="237" spans="1:143" ht="15" customHeight="1" outlineLevel="1">
      <c r="A237" s="118" t="s">
        <v>240</v>
      </c>
      <c r="B237" s="116" t="s">
        <v>258</v>
      </c>
      <c r="C237" s="125">
        <v>46286</v>
      </c>
      <c r="D237" s="125">
        <v>46287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</row>
    <row r="238" spans="1:143" ht="15" customHeight="1" outlineLevel="1">
      <c r="A238" s="118" t="s">
        <v>240</v>
      </c>
      <c r="B238" s="119" t="s">
        <v>259</v>
      </c>
      <c r="C238" s="117">
        <v>46288</v>
      </c>
      <c r="D238" s="117">
        <v>46289</v>
      </c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  <c r="DH238" s="91"/>
      <c r="DI238" s="91"/>
      <c r="DJ238" s="91"/>
      <c r="DK238" s="91"/>
      <c r="DL238" s="91"/>
      <c r="DM238" s="91"/>
      <c r="DN238" s="91"/>
      <c r="DO238" s="91"/>
      <c r="DP238" s="91"/>
      <c r="DQ238" s="91"/>
      <c r="DR238" s="91"/>
      <c r="DS238" s="91"/>
      <c r="DT238" s="91"/>
      <c r="DU238" s="91"/>
      <c r="DV238" s="91"/>
      <c r="DW238" s="91"/>
      <c r="DX238" s="91"/>
      <c r="DY238" s="91"/>
      <c r="DZ238" s="91"/>
      <c r="EA238" s="91"/>
      <c r="EB238" s="91"/>
      <c r="EC238" s="91"/>
      <c r="ED238" s="91"/>
      <c r="EE238" s="91"/>
      <c r="EF238" s="91"/>
      <c r="EG238" s="91"/>
      <c r="EH238" s="91"/>
      <c r="EI238" s="91"/>
      <c r="EJ238" s="91"/>
      <c r="EK238" s="91"/>
      <c r="EL238" s="91"/>
      <c r="EM238" s="91"/>
    </row>
    <row r="239" spans="1:143" ht="15" customHeight="1" outlineLevel="1">
      <c r="A239" s="118" t="s">
        <v>240</v>
      </c>
      <c r="B239" s="119" t="s">
        <v>260</v>
      </c>
      <c r="C239" s="117">
        <v>46290</v>
      </c>
      <c r="D239" s="117">
        <v>46291</v>
      </c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  <c r="DH239" s="91"/>
      <c r="DI239" s="91"/>
      <c r="DJ239" s="91"/>
      <c r="DK239" s="91"/>
      <c r="DL239" s="91"/>
      <c r="DM239" s="91"/>
      <c r="DN239" s="91"/>
      <c r="DO239" s="91"/>
      <c r="DP239" s="91"/>
      <c r="DQ239" s="91"/>
      <c r="DR239" s="91"/>
      <c r="DS239" s="91"/>
      <c r="DT239" s="91"/>
      <c r="DU239" s="91"/>
      <c r="DV239" s="91"/>
      <c r="DW239" s="91"/>
      <c r="DX239" s="91"/>
      <c r="DY239" s="91"/>
      <c r="DZ239" s="91"/>
      <c r="EA239" s="91"/>
      <c r="EB239" s="91"/>
      <c r="EC239" s="91"/>
      <c r="ED239" s="91"/>
      <c r="EE239" s="91"/>
      <c r="EF239" s="91"/>
      <c r="EG239" s="91"/>
      <c r="EH239" s="91"/>
      <c r="EI239" s="91"/>
      <c r="EJ239" s="91"/>
      <c r="EK239" s="91"/>
      <c r="EL239" s="91"/>
      <c r="EM239" s="91"/>
    </row>
    <row r="240" spans="1:143" ht="15" customHeight="1" outlineLevel="1">
      <c r="A240" s="118" t="s">
        <v>240</v>
      </c>
      <c r="B240" s="119" t="s">
        <v>261</v>
      </c>
      <c r="C240" s="117">
        <v>46292</v>
      </c>
      <c r="D240" s="117">
        <v>46293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  <c r="DH240" s="91"/>
      <c r="DI240" s="91"/>
      <c r="DJ240" s="91"/>
      <c r="DK240" s="91"/>
      <c r="DL240" s="91"/>
      <c r="DM240" s="91"/>
      <c r="DN240" s="91"/>
      <c r="DO240" s="91"/>
      <c r="DP240" s="91"/>
      <c r="DQ240" s="91"/>
      <c r="DR240" s="91"/>
      <c r="DS240" s="91"/>
      <c r="DT240" s="91"/>
      <c r="DU240" s="91"/>
      <c r="DV240" s="91"/>
      <c r="DW240" s="91"/>
      <c r="DX240" s="91"/>
      <c r="DY240" s="91"/>
      <c r="DZ240" s="91"/>
      <c r="EA240" s="91"/>
      <c r="EB240" s="91"/>
      <c r="EC240" s="91"/>
      <c r="ED240" s="91"/>
      <c r="EE240" s="91"/>
      <c r="EF240" s="91"/>
      <c r="EG240" s="91"/>
      <c r="EH240" s="91"/>
      <c r="EI240" s="91"/>
      <c r="EJ240" s="91"/>
      <c r="EK240" s="91"/>
      <c r="EL240" s="91"/>
      <c r="EM240" s="91"/>
    </row>
    <row r="241" spans="1:143" ht="15" customHeight="1" outlineLevel="1">
      <c r="A241" s="115" t="s">
        <v>262</v>
      </c>
      <c r="B241" s="119"/>
      <c r="C241" s="117"/>
      <c r="D241" s="117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  <c r="DH241" s="91"/>
      <c r="DI241" s="91"/>
      <c r="DJ241" s="91"/>
      <c r="DK241" s="91"/>
      <c r="DL241" s="91"/>
      <c r="DM241" s="91"/>
      <c r="DN241" s="91"/>
      <c r="DO241" s="91"/>
      <c r="DP241" s="91"/>
      <c r="DQ241" s="91"/>
      <c r="DR241" s="91"/>
      <c r="DS241" s="91"/>
      <c r="DT241" s="91"/>
      <c r="DU241" s="91"/>
      <c r="DV241" s="91"/>
      <c r="DW241" s="91"/>
      <c r="DX241" s="91"/>
      <c r="DY241" s="91"/>
      <c r="DZ241" s="91"/>
      <c r="EA241" s="91"/>
      <c r="EB241" s="91"/>
      <c r="EC241" s="91"/>
      <c r="ED241" s="91"/>
      <c r="EE241" s="91"/>
      <c r="EF241" s="91"/>
      <c r="EG241" s="91"/>
      <c r="EH241" s="91"/>
      <c r="EI241" s="91"/>
      <c r="EJ241" s="91"/>
      <c r="EK241" s="91"/>
      <c r="EL241" s="91"/>
      <c r="EM241" s="91"/>
    </row>
    <row r="242" spans="1:143" ht="15" customHeight="1" outlineLevel="1">
      <c r="A242" s="118" t="s">
        <v>202</v>
      </c>
      <c r="B242" s="119" t="s">
        <v>203</v>
      </c>
      <c r="C242" s="117">
        <v>46266</v>
      </c>
      <c r="D242" s="117">
        <v>46268</v>
      </c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  <c r="DH242" s="91"/>
      <c r="DI242" s="91"/>
      <c r="DJ242" s="91"/>
      <c r="DK242" s="91"/>
      <c r="DL242" s="91"/>
      <c r="DM242" s="91"/>
      <c r="DN242" s="91"/>
      <c r="DO242" s="91"/>
      <c r="DP242" s="91"/>
      <c r="DQ242" s="91"/>
      <c r="DR242" s="91"/>
      <c r="DS242" s="91"/>
      <c r="DT242" s="91"/>
      <c r="DU242" s="91"/>
      <c r="DV242" s="91"/>
      <c r="DW242" s="91"/>
      <c r="DX242" s="91"/>
      <c r="DY242" s="91"/>
      <c r="DZ242" s="91"/>
      <c r="EA242" s="91"/>
      <c r="EB242" s="91"/>
      <c r="EC242" s="91"/>
      <c r="ED242" s="91"/>
      <c r="EE242" s="91"/>
      <c r="EF242" s="91"/>
      <c r="EG242" s="91"/>
      <c r="EH242" s="91"/>
      <c r="EI242" s="91"/>
      <c r="EJ242" s="91"/>
      <c r="EK242" s="91"/>
      <c r="EL242" s="91"/>
      <c r="EM242" s="91"/>
    </row>
    <row r="243" spans="1:143" ht="15" customHeight="1" outlineLevel="1">
      <c r="A243" s="118" t="s">
        <v>202</v>
      </c>
      <c r="B243" s="119" t="s">
        <v>204</v>
      </c>
      <c r="C243" s="117">
        <v>46269</v>
      </c>
      <c r="D243" s="117">
        <v>46271</v>
      </c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  <c r="DH243" s="91"/>
      <c r="DI243" s="91"/>
      <c r="DJ243" s="91"/>
      <c r="DK243" s="91"/>
      <c r="DL243" s="91"/>
      <c r="DM243" s="91"/>
      <c r="DN243" s="91"/>
      <c r="DO243" s="91"/>
      <c r="DP243" s="91"/>
      <c r="DQ243" s="91"/>
      <c r="DR243" s="91"/>
      <c r="DS243" s="91"/>
      <c r="DT243" s="91"/>
      <c r="DU243" s="91"/>
      <c r="DV243" s="91"/>
      <c r="DW243" s="91"/>
      <c r="DX243" s="91"/>
      <c r="DY243" s="91"/>
      <c r="DZ243" s="91"/>
      <c r="EA243" s="91"/>
      <c r="EB243" s="91"/>
      <c r="EC243" s="91"/>
      <c r="ED243" s="91"/>
      <c r="EE243" s="91"/>
      <c r="EF243" s="91"/>
      <c r="EG243" s="91"/>
      <c r="EH243" s="91"/>
      <c r="EI243" s="91"/>
      <c r="EJ243" s="91"/>
      <c r="EK243" s="91"/>
      <c r="EL243" s="91"/>
      <c r="EM243" s="91"/>
    </row>
    <row r="244" spans="1:143" ht="15" customHeight="1" outlineLevel="1">
      <c r="A244" s="118" t="s">
        <v>202</v>
      </c>
      <c r="B244" s="119" t="s">
        <v>205</v>
      </c>
      <c r="C244" s="117">
        <v>46272</v>
      </c>
      <c r="D244" s="117">
        <v>46274</v>
      </c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  <c r="DH244" s="91"/>
      <c r="DI244" s="91"/>
      <c r="DJ244" s="91"/>
      <c r="DK244" s="91"/>
      <c r="DL244" s="91"/>
      <c r="DM244" s="91"/>
      <c r="DN244" s="91"/>
      <c r="DO244" s="91"/>
      <c r="DP244" s="91"/>
      <c r="DQ244" s="91"/>
      <c r="DR244" s="91"/>
      <c r="DS244" s="91"/>
      <c r="DT244" s="91"/>
      <c r="DU244" s="91"/>
      <c r="DV244" s="91"/>
      <c r="DW244" s="91"/>
      <c r="DX244" s="91"/>
      <c r="DY244" s="91"/>
      <c r="DZ244" s="91"/>
      <c r="EA244" s="91"/>
      <c r="EB244" s="91"/>
      <c r="EC244" s="91"/>
      <c r="ED244" s="91"/>
      <c r="EE244" s="91"/>
      <c r="EF244" s="91"/>
      <c r="EG244" s="91"/>
      <c r="EH244" s="91"/>
      <c r="EI244" s="91"/>
      <c r="EJ244" s="91"/>
      <c r="EK244" s="91"/>
      <c r="EL244" s="91"/>
      <c r="EM244" s="91"/>
    </row>
    <row r="245" spans="1:143" ht="15" customHeight="1" outlineLevel="1">
      <c r="A245" s="118" t="s">
        <v>202</v>
      </c>
      <c r="B245" s="119" t="s">
        <v>206</v>
      </c>
      <c r="C245" s="117">
        <v>46275</v>
      </c>
      <c r="D245" s="117">
        <v>46277</v>
      </c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  <c r="DH245" s="91"/>
      <c r="DI245" s="91"/>
      <c r="DJ245" s="91"/>
      <c r="DK245" s="91"/>
      <c r="DL245" s="91"/>
      <c r="DM245" s="91"/>
      <c r="DN245" s="91"/>
      <c r="DO245" s="91"/>
      <c r="DP245" s="91"/>
      <c r="DQ245" s="91"/>
      <c r="DR245" s="91"/>
      <c r="DS245" s="91"/>
      <c r="DT245" s="91"/>
      <c r="DU245" s="91"/>
      <c r="DV245" s="91"/>
      <c r="DW245" s="91"/>
      <c r="DX245" s="91"/>
      <c r="DY245" s="91"/>
      <c r="DZ245" s="91"/>
      <c r="EA245" s="91"/>
      <c r="EB245" s="91"/>
      <c r="EC245" s="91"/>
      <c r="ED245" s="91"/>
      <c r="EE245" s="91"/>
      <c r="EF245" s="91"/>
      <c r="EG245" s="91"/>
      <c r="EH245" s="91"/>
      <c r="EI245" s="91"/>
      <c r="EJ245" s="91"/>
      <c r="EK245" s="91"/>
      <c r="EL245" s="91"/>
      <c r="EM245" s="91"/>
    </row>
    <row r="246" spans="1:143" ht="14.8" customHeight="1" outlineLevel="1">
      <c r="A246" s="118" t="s">
        <v>202</v>
      </c>
      <c r="B246" s="119" t="s">
        <v>207</v>
      </c>
      <c r="C246" s="117">
        <v>46278</v>
      </c>
      <c r="D246" s="117">
        <v>46280</v>
      </c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  <c r="DH246" s="91"/>
      <c r="DI246" s="91"/>
      <c r="DJ246" s="91"/>
      <c r="DK246" s="91"/>
      <c r="DL246" s="91"/>
      <c r="DM246" s="91"/>
      <c r="DN246" s="91"/>
      <c r="DO246" s="91"/>
      <c r="DP246" s="91"/>
      <c r="DQ246" s="91"/>
      <c r="DR246" s="91"/>
      <c r="DS246" s="91"/>
      <c r="DT246" s="91"/>
      <c r="DU246" s="91"/>
      <c r="DV246" s="91"/>
      <c r="DW246" s="91"/>
      <c r="DX246" s="91"/>
      <c r="DY246" s="91"/>
      <c r="DZ246" s="91"/>
      <c r="EA246" s="91"/>
      <c r="EB246" s="91"/>
      <c r="EC246" s="91"/>
      <c r="ED246" s="91"/>
      <c r="EE246" s="91"/>
      <c r="EF246" s="91"/>
      <c r="EG246" s="91"/>
      <c r="EH246" s="91"/>
      <c r="EI246" s="91"/>
      <c r="EJ246" s="91"/>
      <c r="EK246" s="91"/>
      <c r="EL246" s="91"/>
      <c r="EM246" s="91"/>
    </row>
    <row r="247" spans="1:143" ht="15" customHeight="1" outlineLevel="1">
      <c r="A247" s="118" t="s">
        <v>202</v>
      </c>
      <c r="B247" s="119" t="s">
        <v>208</v>
      </c>
      <c r="C247" s="117">
        <v>46281</v>
      </c>
      <c r="D247" s="117">
        <v>46282</v>
      </c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  <c r="DH247" s="91"/>
      <c r="DI247" s="91"/>
      <c r="DJ247" s="91"/>
      <c r="DK247" s="91"/>
      <c r="DL247" s="91"/>
      <c r="DM247" s="91"/>
      <c r="DN247" s="91"/>
      <c r="DO247" s="91"/>
      <c r="DP247" s="91"/>
      <c r="DQ247" s="91"/>
      <c r="DR247" s="91"/>
      <c r="DS247" s="91"/>
      <c r="DT247" s="91"/>
      <c r="DU247" s="91"/>
      <c r="DV247" s="91"/>
      <c r="DW247" s="91"/>
      <c r="DX247" s="91"/>
      <c r="DY247" s="91"/>
      <c r="DZ247" s="91"/>
      <c r="EA247" s="91"/>
      <c r="EB247" s="91"/>
      <c r="EC247" s="91"/>
      <c r="ED247" s="91"/>
      <c r="EE247" s="91"/>
      <c r="EF247" s="91"/>
      <c r="EG247" s="91"/>
      <c r="EH247" s="91"/>
      <c r="EI247" s="91"/>
      <c r="EJ247" s="91"/>
      <c r="EK247" s="91"/>
      <c r="EL247" s="91"/>
      <c r="EM247" s="91"/>
    </row>
    <row r="248" spans="1:143" ht="15" customHeight="1" outlineLevel="1">
      <c r="A248" s="118" t="s">
        <v>202</v>
      </c>
      <c r="B248" s="119" t="s">
        <v>209</v>
      </c>
      <c r="C248" s="117">
        <v>46283</v>
      </c>
      <c r="D248" s="117">
        <v>46284</v>
      </c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  <c r="DP248" s="91"/>
      <c r="DQ248" s="91"/>
      <c r="DR248" s="91"/>
      <c r="DS248" s="91"/>
      <c r="DT248" s="91"/>
      <c r="DU248" s="91"/>
      <c r="DV248" s="91"/>
      <c r="DW248" s="91"/>
      <c r="DX248" s="91"/>
      <c r="DY248" s="91"/>
      <c r="DZ248" s="91"/>
      <c r="EA248" s="91"/>
      <c r="EB248" s="91"/>
      <c r="EC248" s="91"/>
      <c r="ED248" s="91"/>
      <c r="EE248" s="91"/>
      <c r="EF248" s="91"/>
      <c r="EG248" s="91"/>
      <c r="EH248" s="91"/>
      <c r="EI248" s="91"/>
      <c r="EJ248" s="91"/>
      <c r="EK248" s="91"/>
      <c r="EL248" s="91"/>
      <c r="EM248" s="91"/>
    </row>
    <row r="249" spans="1:143" ht="15" customHeight="1" outlineLevel="1">
      <c r="A249" s="118" t="s">
        <v>202</v>
      </c>
      <c r="B249" s="119" t="s">
        <v>210</v>
      </c>
      <c r="C249" s="117">
        <v>46285</v>
      </c>
      <c r="D249" s="117">
        <v>46286</v>
      </c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  <c r="DH249" s="91"/>
      <c r="DI249" s="91"/>
      <c r="DJ249" s="91"/>
      <c r="DK249" s="91"/>
      <c r="DL249" s="91"/>
      <c r="DM249" s="91"/>
      <c r="DN249" s="91"/>
      <c r="DO249" s="91"/>
      <c r="DP249" s="91"/>
      <c r="DQ249" s="91"/>
      <c r="DR249" s="91"/>
      <c r="DS249" s="91"/>
      <c r="DT249" s="91"/>
      <c r="DU249" s="91"/>
      <c r="DV249" s="91"/>
      <c r="DW249" s="91"/>
      <c r="DX249" s="91"/>
      <c r="DY249" s="91"/>
      <c r="DZ249" s="91"/>
      <c r="EA249" s="91"/>
      <c r="EB249" s="91"/>
      <c r="EC249" s="91"/>
      <c r="ED249" s="91"/>
      <c r="EE249" s="91"/>
      <c r="EF249" s="91"/>
      <c r="EG249" s="91"/>
      <c r="EH249" s="91"/>
      <c r="EI249" s="91"/>
      <c r="EJ249" s="91"/>
      <c r="EK249" s="91"/>
      <c r="EL249" s="91"/>
      <c r="EM249" s="91"/>
    </row>
    <row r="250" spans="1:143" ht="15" customHeight="1" outlineLevel="1">
      <c r="A250" s="118" t="s">
        <v>202</v>
      </c>
      <c r="B250" s="119" t="s">
        <v>211</v>
      </c>
      <c r="C250" s="117">
        <v>46287</v>
      </c>
      <c r="D250" s="117">
        <v>46288</v>
      </c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  <c r="DH250" s="91"/>
      <c r="DI250" s="91"/>
      <c r="DJ250" s="91"/>
      <c r="DK250" s="91"/>
      <c r="DL250" s="91"/>
      <c r="DM250" s="91"/>
      <c r="DN250" s="91"/>
      <c r="DO250" s="91"/>
      <c r="DP250" s="91"/>
      <c r="DQ250" s="91"/>
      <c r="DR250" s="91"/>
      <c r="DS250" s="91"/>
      <c r="DT250" s="91"/>
      <c r="DU250" s="91"/>
      <c r="DV250" s="91"/>
      <c r="DW250" s="91"/>
      <c r="DX250" s="91"/>
      <c r="DY250" s="91"/>
      <c r="DZ250" s="91"/>
      <c r="EA250" s="91"/>
      <c r="EB250" s="91"/>
      <c r="EC250" s="91"/>
      <c r="ED250" s="91"/>
      <c r="EE250" s="91"/>
      <c r="EF250" s="91"/>
      <c r="EG250" s="91"/>
      <c r="EH250" s="91"/>
      <c r="EI250" s="91"/>
      <c r="EJ250" s="91"/>
      <c r="EK250" s="91"/>
      <c r="EL250" s="91"/>
      <c r="EM250" s="91"/>
    </row>
    <row r="251" spans="1:143" ht="15" customHeight="1" outlineLevel="1">
      <c r="A251" s="118" t="s">
        <v>202</v>
      </c>
      <c r="B251" s="116" t="s">
        <v>212</v>
      </c>
      <c r="C251" s="125">
        <v>46289</v>
      </c>
      <c r="D251" s="125">
        <v>46290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</row>
    <row r="252" spans="1:143" ht="15" customHeight="1" outlineLevel="1">
      <c r="A252" s="118" t="s">
        <v>202</v>
      </c>
      <c r="B252" s="119" t="s">
        <v>213</v>
      </c>
      <c r="C252" s="117">
        <v>46291</v>
      </c>
      <c r="D252" s="117">
        <v>46292</v>
      </c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  <c r="DH252" s="91"/>
      <c r="DI252" s="91"/>
      <c r="DJ252" s="91"/>
      <c r="DK252" s="91"/>
      <c r="DL252" s="91"/>
      <c r="DM252" s="91"/>
      <c r="DN252" s="91"/>
      <c r="DO252" s="91"/>
      <c r="DP252" s="91"/>
      <c r="DQ252" s="91"/>
      <c r="DR252" s="91"/>
      <c r="DS252" s="91"/>
      <c r="DT252" s="91"/>
      <c r="DU252" s="91"/>
      <c r="DV252" s="91"/>
      <c r="DW252" s="91"/>
      <c r="DX252" s="91"/>
      <c r="DY252" s="91"/>
      <c r="DZ252" s="91"/>
      <c r="EA252" s="91"/>
      <c r="EB252" s="91"/>
      <c r="EC252" s="91"/>
      <c r="ED252" s="91"/>
      <c r="EE252" s="91"/>
      <c r="EF252" s="91"/>
      <c r="EG252" s="91"/>
      <c r="EH252" s="91"/>
      <c r="EI252" s="91"/>
      <c r="EJ252" s="91"/>
      <c r="EK252" s="91"/>
      <c r="EL252" s="91"/>
      <c r="EM252" s="91"/>
    </row>
    <row r="253" spans="1:143" ht="15" customHeight="1" outlineLevel="1">
      <c r="A253" s="118" t="s">
        <v>214</v>
      </c>
      <c r="B253" s="119" t="s">
        <v>215</v>
      </c>
      <c r="C253" s="117">
        <v>46249</v>
      </c>
      <c r="D253" s="117">
        <v>46254</v>
      </c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  <c r="DH253" s="91"/>
      <c r="DI253" s="91"/>
      <c r="DJ253" s="91"/>
      <c r="DK253" s="91"/>
      <c r="DL253" s="91"/>
      <c r="DM253" s="91"/>
      <c r="DN253" s="91"/>
      <c r="DO253" s="91"/>
      <c r="DP253" s="91"/>
      <c r="DQ253" s="91"/>
      <c r="DR253" s="91"/>
      <c r="DS253" s="91"/>
      <c r="DT253" s="91"/>
      <c r="DU253" s="91"/>
      <c r="DV253" s="91"/>
      <c r="DW253" s="91"/>
      <c r="DX253" s="91"/>
      <c r="DY253" s="91"/>
      <c r="DZ253" s="91"/>
      <c r="EA253" s="91"/>
      <c r="EB253" s="91"/>
      <c r="EC253" s="91"/>
      <c r="ED253" s="91"/>
      <c r="EE253" s="91"/>
      <c r="EF253" s="91"/>
      <c r="EG253" s="91"/>
      <c r="EH253" s="91"/>
      <c r="EI253" s="91"/>
      <c r="EJ253" s="91"/>
      <c r="EK253" s="91"/>
      <c r="EL253" s="91"/>
      <c r="EM253" s="91"/>
    </row>
    <row r="254" spans="1:143" ht="15" customHeight="1" outlineLevel="1">
      <c r="A254" s="118" t="s">
        <v>214</v>
      </c>
      <c r="B254" s="119" t="s">
        <v>216</v>
      </c>
      <c r="C254" s="117">
        <v>46293</v>
      </c>
      <c r="D254" s="117">
        <v>46293</v>
      </c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  <c r="DH254" s="91"/>
      <c r="DI254" s="91"/>
      <c r="DJ254" s="91"/>
      <c r="DK254" s="91"/>
      <c r="DL254" s="91"/>
      <c r="DM254" s="91"/>
      <c r="DN254" s="91"/>
      <c r="DO254" s="91"/>
      <c r="DP254" s="91"/>
      <c r="DQ254" s="91"/>
      <c r="DR254" s="91"/>
      <c r="DS254" s="91"/>
      <c r="DT254" s="91"/>
      <c r="DU254" s="91"/>
      <c r="DV254" s="91"/>
      <c r="DW254" s="91"/>
      <c r="DX254" s="91"/>
      <c r="DY254" s="91"/>
      <c r="DZ254" s="91"/>
      <c r="EA254" s="91"/>
      <c r="EB254" s="91"/>
      <c r="EC254" s="91"/>
      <c r="ED254" s="91"/>
      <c r="EE254" s="91"/>
      <c r="EF254" s="91"/>
      <c r="EG254" s="91"/>
      <c r="EH254" s="91"/>
      <c r="EI254" s="91"/>
      <c r="EJ254" s="91"/>
      <c r="EK254" s="91"/>
      <c r="EL254" s="91"/>
      <c r="EM254" s="91"/>
    </row>
    <row r="255" spans="1:143" ht="15" customHeight="1" outlineLevel="1">
      <c r="A255" s="115" t="s">
        <v>263</v>
      </c>
      <c r="B255" s="119"/>
      <c r="C255" s="117"/>
      <c r="D255" s="117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  <c r="DH255" s="91"/>
      <c r="DI255" s="91"/>
      <c r="DJ255" s="91"/>
      <c r="DK255" s="91"/>
      <c r="DL255" s="91"/>
      <c r="DM255" s="91"/>
      <c r="DN255" s="91"/>
      <c r="DO255" s="91"/>
      <c r="DP255" s="91"/>
      <c r="DQ255" s="91"/>
      <c r="DR255" s="91"/>
      <c r="DS255" s="91"/>
      <c r="DT255" s="91"/>
      <c r="DU255" s="91"/>
      <c r="DV255" s="91"/>
      <c r="DW255" s="91"/>
      <c r="DX255" s="91"/>
      <c r="DY255" s="91"/>
      <c r="DZ255" s="91"/>
      <c r="EA255" s="91"/>
      <c r="EB255" s="91"/>
      <c r="EC255" s="91"/>
      <c r="ED255" s="91"/>
      <c r="EE255" s="91"/>
      <c r="EF255" s="91"/>
      <c r="EG255" s="91"/>
      <c r="EH255" s="91"/>
      <c r="EI255" s="91"/>
      <c r="EJ255" s="91"/>
      <c r="EK255" s="91"/>
      <c r="EL255" s="91"/>
      <c r="EM255" s="91"/>
    </row>
    <row r="256" spans="1:143" ht="15" customHeight="1" outlineLevel="1">
      <c r="A256" s="118" t="s">
        <v>202</v>
      </c>
      <c r="B256" s="119" t="s">
        <v>264</v>
      </c>
      <c r="C256" s="117">
        <v>46271</v>
      </c>
      <c r="D256" s="117">
        <v>46293</v>
      </c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  <c r="DH256" s="91"/>
      <c r="DI256" s="91"/>
      <c r="DJ256" s="91"/>
      <c r="DK256" s="91"/>
      <c r="DL256" s="91"/>
      <c r="DM256" s="91"/>
      <c r="DN256" s="91"/>
      <c r="DO256" s="91"/>
      <c r="DP256" s="91"/>
      <c r="DQ256" s="91"/>
      <c r="DR256" s="91"/>
      <c r="DS256" s="91"/>
      <c r="DT256" s="91"/>
      <c r="DU256" s="91"/>
      <c r="DV256" s="91"/>
      <c r="DW256" s="91"/>
      <c r="DX256" s="91"/>
      <c r="DY256" s="91"/>
      <c r="DZ256" s="91"/>
      <c r="EA256" s="91"/>
      <c r="EB256" s="91"/>
      <c r="EC256" s="91"/>
      <c r="ED256" s="91"/>
      <c r="EE256" s="91"/>
      <c r="EF256" s="91"/>
      <c r="EG256" s="91"/>
      <c r="EH256" s="91"/>
      <c r="EI256" s="91"/>
      <c r="EJ256" s="91"/>
      <c r="EK256" s="91"/>
      <c r="EL256" s="91"/>
      <c r="EM256" s="91"/>
    </row>
    <row r="257" spans="1:143" ht="15" customHeight="1" outlineLevel="1">
      <c r="A257" s="118" t="s">
        <v>202</v>
      </c>
      <c r="B257" s="119" t="s">
        <v>265</v>
      </c>
      <c r="C257" s="117">
        <v>46271</v>
      </c>
      <c r="D257" s="117">
        <v>46290</v>
      </c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1"/>
      <c r="DT257" s="91"/>
      <c r="DU257" s="91"/>
      <c r="DV257" s="91"/>
      <c r="DW257" s="91"/>
      <c r="DX257" s="91"/>
      <c r="DY257" s="91"/>
      <c r="DZ257" s="91"/>
      <c r="EA257" s="91"/>
      <c r="EB257" s="91"/>
      <c r="EC257" s="91"/>
      <c r="ED257" s="91"/>
      <c r="EE257" s="91"/>
      <c r="EF257" s="91"/>
      <c r="EG257" s="91"/>
      <c r="EH257" s="91"/>
      <c r="EI257" s="91"/>
      <c r="EJ257" s="91"/>
      <c r="EK257" s="91"/>
      <c r="EL257" s="91"/>
      <c r="EM257" s="91"/>
    </row>
    <row r="258" spans="1:143" ht="20.149999999999999" customHeight="1" outlineLevel="1">
      <c r="A258" s="118" t="s">
        <v>202</v>
      </c>
      <c r="B258" s="119" t="s">
        <v>229</v>
      </c>
      <c r="C258" s="117">
        <v>46271</v>
      </c>
      <c r="D258" s="117">
        <v>46275</v>
      </c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  <c r="DH258" s="91"/>
      <c r="DI258" s="91"/>
      <c r="DJ258" s="91"/>
      <c r="DK258" s="91"/>
      <c r="DL258" s="91"/>
      <c r="DM258" s="91"/>
      <c r="DN258" s="91"/>
      <c r="DO258" s="91"/>
      <c r="DP258" s="91"/>
      <c r="DQ258" s="91"/>
      <c r="DR258" s="91"/>
      <c r="DS258" s="91"/>
      <c r="DT258" s="91"/>
      <c r="DU258" s="91"/>
      <c r="DV258" s="91"/>
      <c r="DW258" s="91"/>
      <c r="DX258" s="91"/>
      <c r="DY258" s="91"/>
      <c r="DZ258" s="91"/>
      <c r="EA258" s="91"/>
      <c r="EB258" s="91"/>
      <c r="EC258" s="91"/>
      <c r="ED258" s="91"/>
      <c r="EE258" s="91"/>
      <c r="EF258" s="91"/>
      <c r="EG258" s="91"/>
      <c r="EH258" s="91"/>
      <c r="EI258" s="91"/>
      <c r="EJ258" s="91"/>
      <c r="EK258" s="91"/>
      <c r="EL258" s="91"/>
      <c r="EM258" s="91"/>
    </row>
    <row r="259" spans="1:143" ht="14.8" customHeight="1" outlineLevel="1">
      <c r="A259" s="118" t="s">
        <v>202</v>
      </c>
      <c r="B259" s="119" t="s">
        <v>230</v>
      </c>
      <c r="C259" s="117">
        <v>46276</v>
      </c>
      <c r="D259" s="117">
        <v>46280</v>
      </c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  <c r="DH259" s="91"/>
      <c r="DI259" s="91"/>
      <c r="DJ259" s="91"/>
      <c r="DK259" s="91"/>
      <c r="DL259" s="91"/>
      <c r="DM259" s="91"/>
      <c r="DN259" s="91"/>
      <c r="DO259" s="91"/>
      <c r="DP259" s="91"/>
      <c r="DQ259" s="91"/>
      <c r="DR259" s="91"/>
      <c r="DS259" s="91"/>
      <c r="DT259" s="91"/>
      <c r="DU259" s="91"/>
      <c r="DV259" s="91"/>
      <c r="DW259" s="91"/>
      <c r="DX259" s="91"/>
      <c r="DY259" s="91"/>
      <c r="DZ259" s="91"/>
      <c r="EA259" s="91"/>
      <c r="EB259" s="91"/>
      <c r="EC259" s="91"/>
      <c r="ED259" s="91"/>
      <c r="EE259" s="91"/>
      <c r="EF259" s="91"/>
      <c r="EG259" s="91"/>
      <c r="EH259" s="91"/>
      <c r="EI259" s="91"/>
      <c r="EJ259" s="91"/>
      <c r="EK259" s="91"/>
      <c r="EL259" s="91"/>
      <c r="EM259" s="91"/>
    </row>
    <row r="260" spans="1:143" ht="15" customHeight="1" outlineLevel="1">
      <c r="A260" s="118" t="s">
        <v>202</v>
      </c>
      <c r="B260" s="119" t="s">
        <v>231</v>
      </c>
      <c r="C260" s="117">
        <v>46276</v>
      </c>
      <c r="D260" s="117">
        <v>46280</v>
      </c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  <c r="DH260" s="91"/>
      <c r="DI260" s="91"/>
      <c r="DJ260" s="91"/>
      <c r="DK260" s="91"/>
      <c r="DL260" s="91"/>
      <c r="DM260" s="91"/>
      <c r="DN260" s="91"/>
      <c r="DO260" s="91"/>
      <c r="DP260" s="91"/>
      <c r="DQ260" s="91"/>
      <c r="DR260" s="91"/>
      <c r="DS260" s="91"/>
      <c r="DT260" s="91"/>
      <c r="DU260" s="91"/>
      <c r="DV260" s="91"/>
      <c r="DW260" s="91"/>
      <c r="DX260" s="91"/>
      <c r="DY260" s="91"/>
      <c r="DZ260" s="91"/>
      <c r="EA260" s="91"/>
      <c r="EB260" s="91"/>
      <c r="EC260" s="91"/>
      <c r="ED260" s="91"/>
      <c r="EE260" s="91"/>
      <c r="EF260" s="91"/>
      <c r="EG260" s="91"/>
      <c r="EH260" s="91"/>
      <c r="EI260" s="91"/>
      <c r="EJ260" s="91"/>
      <c r="EK260" s="91"/>
      <c r="EL260" s="91"/>
      <c r="EM260" s="91"/>
    </row>
    <row r="261" spans="1:143" ht="15" customHeight="1" outlineLevel="1">
      <c r="A261" s="118" t="s">
        <v>202</v>
      </c>
      <c r="B261" s="119" t="s">
        <v>235</v>
      </c>
      <c r="C261" s="117">
        <v>46281</v>
      </c>
      <c r="D261" s="117">
        <v>46290</v>
      </c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  <c r="DP261" s="91"/>
      <c r="DQ261" s="91"/>
      <c r="DR261" s="91"/>
      <c r="DS261" s="91"/>
      <c r="DT261" s="91"/>
      <c r="DU261" s="91"/>
      <c r="DV261" s="91"/>
      <c r="DW261" s="91"/>
      <c r="DX261" s="91"/>
      <c r="DY261" s="91"/>
      <c r="DZ261" s="91"/>
      <c r="EA261" s="91"/>
      <c r="EB261" s="91"/>
      <c r="EC261" s="91"/>
      <c r="ED261" s="91"/>
      <c r="EE261" s="91"/>
      <c r="EF261" s="91"/>
      <c r="EG261" s="91"/>
      <c r="EH261" s="91"/>
      <c r="EI261" s="91"/>
      <c r="EJ261" s="91"/>
      <c r="EK261" s="91"/>
      <c r="EL261" s="91"/>
      <c r="EM261" s="91"/>
    </row>
    <row r="262" spans="1:143" ht="15" customHeight="1" outlineLevel="1">
      <c r="A262" s="118" t="s">
        <v>202</v>
      </c>
      <c r="B262" s="119" t="s">
        <v>232</v>
      </c>
      <c r="C262" s="117">
        <v>46281</v>
      </c>
      <c r="D262" s="117">
        <v>46293</v>
      </c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1"/>
      <c r="DS262" s="91"/>
      <c r="DT262" s="91"/>
      <c r="DU262" s="91"/>
      <c r="DV262" s="91"/>
      <c r="DW262" s="91"/>
      <c r="DX262" s="91"/>
      <c r="DY262" s="91"/>
      <c r="DZ262" s="91"/>
      <c r="EA262" s="91"/>
      <c r="EB262" s="91"/>
      <c r="EC262" s="91"/>
      <c r="ED262" s="91"/>
      <c r="EE262" s="91"/>
      <c r="EF262" s="91"/>
      <c r="EG262" s="91"/>
      <c r="EH262" s="91"/>
      <c r="EI262" s="91"/>
      <c r="EJ262" s="91"/>
      <c r="EK262" s="91"/>
      <c r="EL262" s="91"/>
      <c r="EM262" s="91"/>
    </row>
    <row r="263" spans="1:143" ht="15" customHeight="1" outlineLevel="1">
      <c r="A263" s="118" t="s">
        <v>202</v>
      </c>
      <c r="B263" s="119" t="s">
        <v>233</v>
      </c>
      <c r="C263" s="117">
        <v>46281</v>
      </c>
      <c r="D263" s="117">
        <v>46293</v>
      </c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1"/>
      <c r="DS263" s="91"/>
      <c r="DT263" s="91"/>
      <c r="DU263" s="91"/>
      <c r="DV263" s="91"/>
      <c r="DW263" s="91"/>
      <c r="DX263" s="91"/>
      <c r="DY263" s="91"/>
      <c r="DZ263" s="91"/>
      <c r="EA263" s="91"/>
      <c r="EB263" s="91"/>
      <c r="EC263" s="91"/>
      <c r="ED263" s="91"/>
      <c r="EE263" s="91"/>
      <c r="EF263" s="91"/>
      <c r="EG263" s="91"/>
      <c r="EH263" s="91"/>
      <c r="EI263" s="91"/>
      <c r="EJ263" s="91"/>
      <c r="EK263" s="91"/>
      <c r="EL263" s="91"/>
      <c r="EM263" s="91"/>
    </row>
    <row r="264" spans="1:143" ht="15" customHeight="1" outlineLevel="1">
      <c r="A264" s="118" t="s">
        <v>202</v>
      </c>
      <c r="B264" s="119" t="s">
        <v>234</v>
      </c>
      <c r="C264" s="117">
        <v>46281</v>
      </c>
      <c r="D264" s="117">
        <v>46293</v>
      </c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1"/>
      <c r="DS264" s="91"/>
      <c r="DT264" s="91"/>
      <c r="DU264" s="91"/>
      <c r="DV264" s="91"/>
      <c r="DW264" s="91"/>
      <c r="DX264" s="91"/>
      <c r="DY264" s="91"/>
      <c r="DZ264" s="91"/>
      <c r="EA264" s="91"/>
      <c r="EB264" s="91"/>
      <c r="EC264" s="91"/>
      <c r="ED264" s="91"/>
      <c r="EE264" s="91"/>
      <c r="EF264" s="91"/>
      <c r="EG264" s="91"/>
      <c r="EH264" s="91"/>
      <c r="EI264" s="91"/>
      <c r="EJ264" s="91"/>
      <c r="EK264" s="91"/>
      <c r="EL264" s="91"/>
      <c r="EM264" s="91"/>
    </row>
    <row r="265" spans="1:143" ht="15" customHeight="1" outlineLevel="1">
      <c r="A265" s="118" t="s">
        <v>202</v>
      </c>
      <c r="B265" s="119" t="s">
        <v>236</v>
      </c>
      <c r="C265" s="117">
        <v>46291</v>
      </c>
      <c r="D265" s="117">
        <v>46293</v>
      </c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1"/>
      <c r="DS265" s="91"/>
      <c r="DT265" s="91"/>
      <c r="DU265" s="91"/>
      <c r="DV265" s="91"/>
      <c r="DW265" s="91"/>
      <c r="DX265" s="91"/>
      <c r="DY265" s="91"/>
      <c r="DZ265" s="91"/>
      <c r="EA265" s="91"/>
      <c r="EB265" s="91"/>
      <c r="EC265" s="91"/>
      <c r="ED265" s="91"/>
      <c r="EE265" s="91"/>
      <c r="EF265" s="91"/>
      <c r="EG265" s="91"/>
      <c r="EH265" s="91"/>
      <c r="EI265" s="91"/>
      <c r="EJ265" s="91"/>
      <c r="EK265" s="91"/>
      <c r="EL265" s="91"/>
      <c r="EM265" s="91"/>
    </row>
    <row r="266" spans="1:143" ht="15" customHeight="1" outlineLevel="1">
      <c r="A266" s="118" t="s">
        <v>214</v>
      </c>
      <c r="B266" s="119" t="s">
        <v>228</v>
      </c>
      <c r="C266" s="117">
        <v>46291</v>
      </c>
      <c r="D266" s="117">
        <v>46293</v>
      </c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  <c r="DH266" s="91"/>
      <c r="DI266" s="91"/>
      <c r="DJ266" s="91"/>
      <c r="DK266" s="91"/>
      <c r="DL266" s="91"/>
      <c r="DM266" s="91"/>
      <c r="DN266" s="91"/>
      <c r="DO266" s="91"/>
      <c r="DP266" s="91"/>
      <c r="DQ266" s="91"/>
      <c r="DR266" s="91"/>
      <c r="DS266" s="91"/>
      <c r="DT266" s="91"/>
      <c r="DU266" s="91"/>
      <c r="DV266" s="91"/>
      <c r="DW266" s="91"/>
      <c r="DX266" s="91"/>
      <c r="DY266" s="91"/>
      <c r="DZ266" s="91"/>
      <c r="EA266" s="91"/>
      <c r="EB266" s="91"/>
      <c r="EC266" s="91"/>
      <c r="ED266" s="91"/>
      <c r="EE266" s="91"/>
      <c r="EF266" s="91"/>
      <c r="EG266" s="91"/>
      <c r="EH266" s="91"/>
      <c r="EI266" s="91"/>
      <c r="EJ266" s="91"/>
      <c r="EK266" s="91"/>
      <c r="EL266" s="91"/>
      <c r="EM266" s="91"/>
    </row>
    <row r="267" spans="1:143" ht="15" customHeight="1" outlineLevel="1">
      <c r="A267" s="121" t="s">
        <v>266</v>
      </c>
      <c r="B267" s="122"/>
      <c r="C267" s="123">
        <v>46294</v>
      </c>
      <c r="D267" s="123">
        <v>46332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AI267" s="158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</row>
    <row r="268" spans="1:143" ht="15" customHeight="1" outlineLevel="1">
      <c r="A268" s="115" t="s">
        <v>267</v>
      </c>
      <c r="B268" s="126"/>
      <c r="C268" s="127"/>
      <c r="D268" s="12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</row>
    <row r="269" spans="1:143" ht="15" customHeight="1" outlineLevel="1">
      <c r="A269" s="118" t="s">
        <v>268</v>
      </c>
      <c r="B269" s="128" t="s">
        <v>269</v>
      </c>
      <c r="C269" s="129">
        <v>46294</v>
      </c>
      <c r="D269" s="129">
        <v>46295</v>
      </c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  <c r="DH269" s="91"/>
      <c r="DI269" s="91"/>
      <c r="DJ269" s="91"/>
      <c r="DK269" s="91"/>
      <c r="DL269" s="91"/>
      <c r="DM269" s="91"/>
      <c r="DN269" s="91"/>
      <c r="DO269" s="91"/>
      <c r="DP269" s="91"/>
      <c r="DQ269" s="91"/>
      <c r="DR269" s="91"/>
      <c r="DS269" s="91"/>
      <c r="DT269" s="91"/>
      <c r="DU269" s="91"/>
      <c r="DV269" s="91"/>
      <c r="DW269" s="91"/>
      <c r="DX269" s="91"/>
      <c r="DY269" s="91"/>
      <c r="DZ269" s="91"/>
      <c r="EA269" s="91"/>
      <c r="EB269" s="91"/>
      <c r="EC269" s="91"/>
      <c r="ED269" s="91"/>
      <c r="EE269" s="91"/>
      <c r="EF269" s="91"/>
      <c r="EG269" s="91"/>
      <c r="EH269" s="91"/>
      <c r="EI269" s="91"/>
      <c r="EJ269" s="91"/>
      <c r="EK269" s="91"/>
      <c r="EL269" s="91"/>
      <c r="EM269" s="91"/>
    </row>
    <row r="270" spans="1:143" ht="15" customHeight="1" outlineLevel="1">
      <c r="A270" s="118" t="s">
        <v>240</v>
      </c>
      <c r="B270" s="128" t="s">
        <v>269</v>
      </c>
      <c r="C270" s="129">
        <v>46294</v>
      </c>
      <c r="D270" s="129">
        <v>46295</v>
      </c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  <c r="DH270" s="91"/>
      <c r="DI270" s="91"/>
      <c r="DJ270" s="91"/>
      <c r="DK270" s="91"/>
      <c r="DL270" s="91"/>
      <c r="DM270" s="91"/>
      <c r="DN270" s="91"/>
      <c r="DO270" s="91"/>
      <c r="DP270" s="91"/>
      <c r="DQ270" s="91"/>
      <c r="DR270" s="91"/>
      <c r="DS270" s="91"/>
      <c r="DT270" s="91"/>
      <c r="DU270" s="91"/>
      <c r="DV270" s="91"/>
      <c r="DW270" s="91"/>
      <c r="DX270" s="91"/>
      <c r="DY270" s="91"/>
      <c r="DZ270" s="91"/>
      <c r="EA270" s="91"/>
      <c r="EB270" s="91"/>
      <c r="EC270" s="91"/>
      <c r="ED270" s="91"/>
      <c r="EE270" s="91"/>
      <c r="EF270" s="91"/>
      <c r="EG270" s="91"/>
      <c r="EH270" s="91"/>
      <c r="EI270" s="91"/>
      <c r="EJ270" s="91"/>
      <c r="EK270" s="91"/>
      <c r="EL270" s="91"/>
      <c r="EM270" s="91"/>
    </row>
    <row r="271" spans="1:143" ht="15" customHeight="1" outlineLevel="1">
      <c r="A271" s="130" t="s">
        <v>270</v>
      </c>
      <c r="B271" s="128" t="s">
        <v>271</v>
      </c>
      <c r="C271" s="129">
        <v>46259</v>
      </c>
      <c r="D271" s="129">
        <v>46264</v>
      </c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  <c r="DH271" s="91"/>
      <c r="DI271" s="91"/>
      <c r="DJ271" s="91"/>
      <c r="DK271" s="91"/>
      <c r="DL271" s="91"/>
      <c r="DM271" s="91"/>
      <c r="DN271" s="91"/>
      <c r="DO271" s="91"/>
      <c r="DP271" s="91"/>
      <c r="DQ271" s="91"/>
      <c r="DR271" s="91"/>
      <c r="DS271" s="91"/>
      <c r="DT271" s="91"/>
      <c r="DU271" s="91"/>
      <c r="DV271" s="91"/>
      <c r="DW271" s="91"/>
      <c r="DX271" s="91"/>
      <c r="DY271" s="91"/>
      <c r="DZ271" s="91"/>
      <c r="EA271" s="91"/>
      <c r="EB271" s="91"/>
      <c r="EC271" s="91"/>
      <c r="ED271" s="91"/>
      <c r="EE271" s="91"/>
      <c r="EF271" s="91"/>
      <c r="EG271" s="91"/>
      <c r="EH271" s="91"/>
      <c r="EI271" s="91"/>
      <c r="EJ271" s="91"/>
      <c r="EK271" s="91"/>
      <c r="EL271" s="91"/>
      <c r="EM271" s="91"/>
    </row>
    <row r="272" spans="1:143" ht="15" customHeight="1" outlineLevel="1">
      <c r="A272" s="130" t="s">
        <v>270</v>
      </c>
      <c r="B272" s="128" t="s">
        <v>255</v>
      </c>
      <c r="C272" s="129">
        <v>46259</v>
      </c>
      <c r="D272" s="129">
        <v>46264</v>
      </c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/>
      <c r="DQ272" s="91"/>
      <c r="DR272" s="91"/>
      <c r="DS272" s="91"/>
      <c r="DT272" s="91"/>
      <c r="DU272" s="91"/>
      <c r="DV272" s="91"/>
      <c r="DW272" s="91"/>
      <c r="DX272" s="91"/>
      <c r="DY272" s="91"/>
      <c r="DZ272" s="91"/>
      <c r="EA272" s="91"/>
      <c r="EB272" s="91"/>
      <c r="EC272" s="91"/>
      <c r="ED272" s="91"/>
      <c r="EE272" s="91"/>
      <c r="EF272" s="91"/>
      <c r="EG272" s="91"/>
      <c r="EH272" s="91"/>
      <c r="EI272" s="91"/>
      <c r="EJ272" s="91"/>
      <c r="EK272" s="91"/>
      <c r="EL272" s="91"/>
      <c r="EM272" s="91"/>
    </row>
    <row r="273" spans="1:143" ht="15" customHeight="1" outlineLevel="1">
      <c r="A273" s="115" t="s">
        <v>272</v>
      </c>
      <c r="B273" s="128"/>
      <c r="C273" s="129"/>
      <c r="D273" s="129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1"/>
      <c r="DR273" s="91"/>
      <c r="DS273" s="91"/>
      <c r="DT273" s="91"/>
      <c r="DU273" s="91"/>
      <c r="DV273" s="91"/>
      <c r="DW273" s="91"/>
      <c r="DX273" s="91"/>
      <c r="DY273" s="91"/>
      <c r="DZ273" s="91"/>
      <c r="EA273" s="91"/>
      <c r="EB273" s="91"/>
      <c r="EC273" s="91"/>
      <c r="ED273" s="91"/>
      <c r="EE273" s="91"/>
      <c r="EF273" s="91"/>
      <c r="EG273" s="91"/>
      <c r="EH273" s="91"/>
      <c r="EI273" s="91"/>
      <c r="EJ273" s="91"/>
      <c r="EK273" s="91"/>
      <c r="EL273" s="91"/>
      <c r="EM273" s="91"/>
    </row>
    <row r="274" spans="1:143" ht="15" customHeight="1" outlineLevel="1">
      <c r="A274" s="118" t="s">
        <v>202</v>
      </c>
      <c r="B274" s="131" t="s">
        <v>203</v>
      </c>
      <c r="C274" s="129">
        <v>46303</v>
      </c>
      <c r="D274" s="129">
        <v>46305</v>
      </c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/>
      <c r="DQ274" s="91"/>
      <c r="DR274" s="91"/>
      <c r="DS274" s="91"/>
      <c r="DT274" s="91"/>
      <c r="DU274" s="91"/>
      <c r="DV274" s="91"/>
      <c r="DW274" s="91"/>
      <c r="DX274" s="91"/>
      <c r="DY274" s="91"/>
      <c r="DZ274" s="91"/>
      <c r="EA274" s="91"/>
      <c r="EB274" s="91"/>
      <c r="EC274" s="91"/>
      <c r="ED274" s="91"/>
      <c r="EE274" s="91"/>
      <c r="EF274" s="91"/>
      <c r="EG274" s="91"/>
      <c r="EH274" s="91"/>
      <c r="EI274" s="91"/>
      <c r="EJ274" s="91"/>
      <c r="EK274" s="91"/>
      <c r="EL274" s="91"/>
      <c r="EM274" s="91"/>
    </row>
    <row r="275" spans="1:143" ht="15" customHeight="1" outlineLevel="1">
      <c r="A275" s="118" t="s">
        <v>202</v>
      </c>
      <c r="B275" s="131" t="s">
        <v>204</v>
      </c>
      <c r="C275" s="129">
        <v>46306</v>
      </c>
      <c r="D275" s="129">
        <v>46308</v>
      </c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/>
      <c r="DQ275" s="91"/>
      <c r="DR275" s="91"/>
      <c r="DS275" s="91"/>
      <c r="DT275" s="91"/>
      <c r="DU275" s="91"/>
      <c r="DV275" s="91"/>
      <c r="DW275" s="91"/>
      <c r="DX275" s="91"/>
      <c r="DY275" s="91"/>
      <c r="DZ275" s="91"/>
      <c r="EA275" s="91"/>
      <c r="EB275" s="91"/>
      <c r="EC275" s="91"/>
      <c r="ED275" s="91"/>
      <c r="EE275" s="91"/>
      <c r="EF275" s="91"/>
      <c r="EG275" s="91"/>
      <c r="EH275" s="91"/>
      <c r="EI275" s="91"/>
      <c r="EJ275" s="91"/>
      <c r="EK275" s="91"/>
      <c r="EL275" s="91"/>
      <c r="EM275" s="91"/>
    </row>
    <row r="276" spans="1:143" ht="15" customHeight="1" outlineLevel="1">
      <c r="A276" s="118" t="s">
        <v>202</v>
      </c>
      <c r="B276" s="131" t="s">
        <v>205</v>
      </c>
      <c r="C276" s="129">
        <v>46309</v>
      </c>
      <c r="D276" s="129">
        <v>46311</v>
      </c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  <c r="DP276" s="91"/>
      <c r="DQ276" s="91"/>
      <c r="DR276" s="91"/>
      <c r="DS276" s="91"/>
      <c r="DT276" s="91"/>
      <c r="DU276" s="91"/>
      <c r="DV276" s="91"/>
      <c r="DW276" s="91"/>
      <c r="DX276" s="91"/>
      <c r="DY276" s="91"/>
      <c r="DZ276" s="91"/>
      <c r="EA276" s="91"/>
      <c r="EB276" s="91"/>
      <c r="EC276" s="91"/>
      <c r="ED276" s="91"/>
      <c r="EE276" s="91"/>
      <c r="EF276" s="91"/>
      <c r="EG276" s="91"/>
      <c r="EH276" s="91"/>
      <c r="EI276" s="91"/>
      <c r="EJ276" s="91"/>
      <c r="EK276" s="91"/>
      <c r="EL276" s="91"/>
      <c r="EM276" s="91"/>
    </row>
    <row r="277" spans="1:143" ht="15" customHeight="1" outlineLevel="1">
      <c r="A277" s="118" t="s">
        <v>273</v>
      </c>
      <c r="B277" s="128" t="s">
        <v>230</v>
      </c>
      <c r="C277" s="129">
        <v>46309</v>
      </c>
      <c r="D277" s="129">
        <v>46309</v>
      </c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  <c r="DP277" s="91"/>
      <c r="DQ277" s="91"/>
      <c r="DR277" s="91"/>
      <c r="DS277" s="91"/>
      <c r="DT277" s="91"/>
      <c r="DU277" s="91"/>
      <c r="DV277" s="91"/>
      <c r="DW277" s="91"/>
      <c r="DX277" s="91"/>
      <c r="DY277" s="91"/>
      <c r="DZ277" s="91"/>
      <c r="EA277" s="91"/>
      <c r="EB277" s="91"/>
      <c r="EC277" s="91"/>
      <c r="ED277" s="91"/>
      <c r="EE277" s="91"/>
      <c r="EF277" s="91"/>
      <c r="EG277" s="91"/>
      <c r="EH277" s="91"/>
      <c r="EI277" s="91"/>
      <c r="EJ277" s="91"/>
      <c r="EK277" s="91"/>
      <c r="EL277" s="91"/>
      <c r="EM277" s="91"/>
    </row>
    <row r="278" spans="1:143" ht="15" customHeight="1" outlineLevel="1">
      <c r="A278" s="118" t="s">
        <v>273</v>
      </c>
      <c r="B278" s="128" t="s">
        <v>231</v>
      </c>
      <c r="C278" s="129">
        <v>46310</v>
      </c>
      <c r="D278" s="129">
        <v>46310</v>
      </c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  <c r="DH278" s="91"/>
      <c r="DI278" s="91"/>
      <c r="DJ278" s="91"/>
      <c r="DK278" s="91"/>
      <c r="DL278" s="91"/>
      <c r="DM278" s="91"/>
      <c r="DN278" s="91"/>
      <c r="DO278" s="91"/>
      <c r="DP278" s="91"/>
      <c r="DQ278" s="91"/>
      <c r="DR278" s="91"/>
      <c r="DS278" s="91"/>
      <c r="DT278" s="91"/>
      <c r="DU278" s="91"/>
      <c r="DV278" s="91"/>
      <c r="DW278" s="91"/>
      <c r="DX278" s="91"/>
      <c r="DY278" s="91"/>
      <c r="DZ278" s="91"/>
      <c r="EA278" s="91"/>
      <c r="EB278" s="91"/>
      <c r="EC278" s="91"/>
      <c r="ED278" s="91"/>
      <c r="EE278" s="91"/>
      <c r="EF278" s="91"/>
      <c r="EG278" s="91"/>
      <c r="EH278" s="91"/>
      <c r="EI278" s="91"/>
      <c r="EJ278" s="91"/>
      <c r="EK278" s="91"/>
      <c r="EL278" s="91"/>
      <c r="EM278" s="91"/>
    </row>
    <row r="279" spans="1:143" ht="15" customHeight="1" outlineLevel="1">
      <c r="A279" s="118" t="s">
        <v>273</v>
      </c>
      <c r="B279" s="128" t="s">
        <v>232</v>
      </c>
      <c r="C279" s="129">
        <v>46310</v>
      </c>
      <c r="D279" s="129">
        <v>46311</v>
      </c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  <c r="DH279" s="91"/>
      <c r="DI279" s="91"/>
      <c r="DJ279" s="91"/>
      <c r="DK279" s="91"/>
      <c r="DL279" s="91"/>
      <c r="DM279" s="91"/>
      <c r="DN279" s="91"/>
      <c r="DO279" s="91"/>
      <c r="DP279" s="91"/>
      <c r="DQ279" s="91"/>
      <c r="DR279" s="91"/>
      <c r="DS279" s="91"/>
      <c r="DT279" s="91"/>
      <c r="DU279" s="91"/>
      <c r="DV279" s="91"/>
      <c r="DW279" s="91"/>
      <c r="DX279" s="91"/>
      <c r="DY279" s="91"/>
      <c r="DZ279" s="91"/>
      <c r="EA279" s="91"/>
      <c r="EB279" s="91"/>
      <c r="EC279" s="91"/>
      <c r="ED279" s="91"/>
      <c r="EE279" s="91"/>
      <c r="EF279" s="91"/>
      <c r="EG279" s="91"/>
      <c r="EH279" s="91"/>
      <c r="EI279" s="91"/>
      <c r="EJ279" s="91"/>
      <c r="EK279" s="91"/>
      <c r="EL279" s="91"/>
      <c r="EM279" s="91"/>
    </row>
    <row r="280" spans="1:143" ht="15" customHeight="1" outlineLevel="1">
      <c r="A280" s="118" t="s">
        <v>273</v>
      </c>
      <c r="B280" s="128" t="s">
        <v>233</v>
      </c>
      <c r="C280" s="129">
        <v>46310</v>
      </c>
      <c r="D280" s="129">
        <v>46311</v>
      </c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  <c r="DH280" s="91"/>
      <c r="DI280" s="91"/>
      <c r="DJ280" s="91"/>
      <c r="DK280" s="91"/>
      <c r="DL280" s="91"/>
      <c r="DM280" s="91"/>
      <c r="DN280" s="91"/>
      <c r="DO280" s="91"/>
      <c r="DP280" s="91"/>
      <c r="DQ280" s="91"/>
      <c r="DR280" s="91"/>
      <c r="DS280" s="91"/>
      <c r="DT280" s="91"/>
      <c r="DU280" s="91"/>
      <c r="DV280" s="91"/>
      <c r="DW280" s="91"/>
      <c r="DX280" s="91"/>
      <c r="DY280" s="91"/>
      <c r="DZ280" s="91"/>
      <c r="EA280" s="91"/>
      <c r="EB280" s="91"/>
      <c r="EC280" s="91"/>
      <c r="ED280" s="91"/>
      <c r="EE280" s="91"/>
      <c r="EF280" s="91"/>
      <c r="EG280" s="91"/>
      <c r="EH280" s="91"/>
      <c r="EI280" s="91"/>
      <c r="EJ280" s="91"/>
      <c r="EK280" s="91"/>
      <c r="EL280" s="91"/>
      <c r="EM280" s="91"/>
    </row>
    <row r="281" spans="1:143" ht="15" customHeight="1" outlineLevel="1">
      <c r="A281" s="118" t="s">
        <v>273</v>
      </c>
      <c r="B281" s="128" t="s">
        <v>234</v>
      </c>
      <c r="C281" s="129">
        <v>46310</v>
      </c>
      <c r="D281" s="129">
        <v>46311</v>
      </c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  <c r="DH281" s="91"/>
      <c r="DI281" s="91"/>
      <c r="DJ281" s="91"/>
      <c r="DK281" s="91"/>
      <c r="DL281" s="91"/>
      <c r="DM281" s="91"/>
      <c r="DN281" s="91"/>
      <c r="DO281" s="91"/>
      <c r="DP281" s="91"/>
      <c r="DQ281" s="91"/>
      <c r="DR281" s="91"/>
      <c r="DS281" s="91"/>
      <c r="DT281" s="91"/>
      <c r="DU281" s="91"/>
      <c r="DV281" s="91"/>
      <c r="DW281" s="91"/>
      <c r="DX281" s="91"/>
      <c r="DY281" s="91"/>
      <c r="DZ281" s="91"/>
      <c r="EA281" s="91"/>
      <c r="EB281" s="91"/>
      <c r="EC281" s="91"/>
      <c r="ED281" s="91"/>
      <c r="EE281" s="91"/>
      <c r="EF281" s="91"/>
      <c r="EG281" s="91"/>
      <c r="EH281" s="91"/>
      <c r="EI281" s="91"/>
      <c r="EJ281" s="91"/>
      <c r="EK281" s="91"/>
      <c r="EL281" s="91"/>
      <c r="EM281" s="91"/>
    </row>
    <row r="282" spans="1:143" ht="15" customHeight="1" outlineLevel="1">
      <c r="A282" s="118" t="s">
        <v>202</v>
      </c>
      <c r="B282" s="128" t="s">
        <v>206</v>
      </c>
      <c r="C282" s="129">
        <v>46312</v>
      </c>
      <c r="D282" s="129">
        <v>46314</v>
      </c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91"/>
      <c r="DQ282" s="91"/>
      <c r="DR282" s="91"/>
      <c r="DS282" s="91"/>
      <c r="DT282" s="91"/>
      <c r="DU282" s="91"/>
      <c r="DV282" s="91"/>
      <c r="DW282" s="91"/>
      <c r="DX282" s="91"/>
      <c r="DY282" s="91"/>
      <c r="DZ282" s="91"/>
      <c r="EA282" s="91"/>
      <c r="EB282" s="91"/>
      <c r="EC282" s="91"/>
      <c r="ED282" s="91"/>
      <c r="EE282" s="91"/>
      <c r="EF282" s="91"/>
      <c r="EG282" s="91"/>
      <c r="EH282" s="91"/>
      <c r="EI282" s="91"/>
      <c r="EJ282" s="91"/>
      <c r="EK282" s="91"/>
      <c r="EL282" s="91"/>
      <c r="EM282" s="91"/>
    </row>
    <row r="283" spans="1:143" ht="15" customHeight="1" outlineLevel="1">
      <c r="A283" s="118" t="s">
        <v>202</v>
      </c>
      <c r="B283" s="128" t="s">
        <v>207</v>
      </c>
      <c r="C283" s="129">
        <v>46315</v>
      </c>
      <c r="D283" s="129">
        <v>46317</v>
      </c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91"/>
      <c r="DQ283" s="91"/>
      <c r="DR283" s="91"/>
      <c r="DS283" s="91"/>
      <c r="DT283" s="91"/>
      <c r="DU283" s="91"/>
      <c r="DV283" s="91"/>
      <c r="DW283" s="91"/>
      <c r="DX283" s="91"/>
      <c r="DY283" s="91"/>
      <c r="DZ283" s="91"/>
      <c r="EA283" s="91"/>
      <c r="EB283" s="91"/>
      <c r="EC283" s="91"/>
      <c r="ED283" s="91"/>
      <c r="EE283" s="91"/>
      <c r="EF283" s="91"/>
      <c r="EG283" s="91"/>
      <c r="EH283" s="91"/>
      <c r="EI283" s="91"/>
      <c r="EJ283" s="91"/>
      <c r="EK283" s="91"/>
      <c r="EL283" s="91"/>
      <c r="EM283" s="91"/>
    </row>
    <row r="284" spans="1:143" ht="15" customHeight="1" outlineLevel="1">
      <c r="A284" s="118" t="s">
        <v>273</v>
      </c>
      <c r="B284" s="128" t="s">
        <v>235</v>
      </c>
      <c r="C284" s="129">
        <v>46315</v>
      </c>
      <c r="D284" s="129">
        <v>46319</v>
      </c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/>
      <c r="DQ284" s="91"/>
      <c r="DR284" s="91"/>
      <c r="DS284" s="91"/>
      <c r="DT284" s="91"/>
      <c r="DU284" s="91"/>
      <c r="DV284" s="91"/>
      <c r="DW284" s="91"/>
      <c r="DX284" s="91"/>
      <c r="DY284" s="91"/>
      <c r="DZ284" s="91"/>
      <c r="EA284" s="91"/>
      <c r="EB284" s="91"/>
      <c r="EC284" s="91"/>
      <c r="ED284" s="91"/>
      <c r="EE284" s="91"/>
      <c r="EF284" s="91"/>
      <c r="EG284" s="91"/>
      <c r="EH284" s="91"/>
      <c r="EI284" s="91"/>
      <c r="EJ284" s="91"/>
      <c r="EK284" s="91"/>
      <c r="EL284" s="91"/>
      <c r="EM284" s="91"/>
    </row>
    <row r="285" spans="1:143" ht="15" customHeight="1" outlineLevel="1">
      <c r="A285" s="118" t="s">
        <v>202</v>
      </c>
      <c r="B285" s="128" t="s">
        <v>208</v>
      </c>
      <c r="C285" s="129">
        <v>46318</v>
      </c>
      <c r="D285" s="129">
        <v>46319</v>
      </c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/>
      <c r="DQ285" s="91"/>
      <c r="DR285" s="91"/>
      <c r="DS285" s="91"/>
      <c r="DT285" s="91"/>
      <c r="DU285" s="91"/>
      <c r="DV285" s="91"/>
      <c r="DW285" s="91"/>
      <c r="DX285" s="91"/>
      <c r="DY285" s="91"/>
      <c r="DZ285" s="91"/>
      <c r="EA285" s="91"/>
      <c r="EB285" s="91"/>
      <c r="EC285" s="91"/>
      <c r="ED285" s="91"/>
      <c r="EE285" s="91"/>
      <c r="EF285" s="91"/>
      <c r="EG285" s="91"/>
      <c r="EH285" s="91"/>
      <c r="EI285" s="91"/>
      <c r="EJ285" s="91"/>
      <c r="EK285" s="91"/>
      <c r="EL285" s="91"/>
      <c r="EM285" s="91"/>
    </row>
    <row r="286" spans="1:143" ht="15" customHeight="1" outlineLevel="1">
      <c r="A286" s="118" t="s">
        <v>202</v>
      </c>
      <c r="B286" s="128" t="s">
        <v>209</v>
      </c>
      <c r="C286" s="129">
        <v>46320</v>
      </c>
      <c r="D286" s="129">
        <v>46321</v>
      </c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  <c r="DH286" s="91"/>
      <c r="DI286" s="91"/>
      <c r="DJ286" s="91"/>
      <c r="DK286" s="91"/>
      <c r="DL286" s="91"/>
      <c r="DM286" s="91"/>
      <c r="DN286" s="91"/>
      <c r="DO286" s="91"/>
      <c r="DP286" s="91"/>
      <c r="DQ286" s="91"/>
      <c r="DR286" s="91"/>
      <c r="DS286" s="91"/>
      <c r="DT286" s="91"/>
      <c r="DU286" s="91"/>
      <c r="DV286" s="91"/>
      <c r="DW286" s="91"/>
      <c r="DX286" s="91"/>
      <c r="DY286" s="91"/>
      <c r="DZ286" s="91"/>
      <c r="EA286" s="91"/>
      <c r="EB286" s="91"/>
      <c r="EC286" s="91"/>
      <c r="ED286" s="91"/>
      <c r="EE286" s="91"/>
      <c r="EF286" s="91"/>
      <c r="EG286" s="91"/>
      <c r="EH286" s="91"/>
      <c r="EI286" s="91"/>
      <c r="EJ286" s="91"/>
      <c r="EK286" s="91"/>
      <c r="EL286" s="91"/>
      <c r="EM286" s="91"/>
    </row>
    <row r="287" spans="1:143" ht="15" customHeight="1" outlineLevel="1">
      <c r="A287" s="118" t="s">
        <v>202</v>
      </c>
      <c r="B287" s="128" t="s">
        <v>210</v>
      </c>
      <c r="C287" s="129">
        <v>46322</v>
      </c>
      <c r="D287" s="129">
        <v>46323</v>
      </c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  <c r="DH287" s="91"/>
      <c r="DI287" s="91"/>
      <c r="DJ287" s="91"/>
      <c r="DK287" s="91"/>
      <c r="DL287" s="91"/>
      <c r="DM287" s="91"/>
      <c r="DN287" s="91"/>
      <c r="DO287" s="91"/>
      <c r="DP287" s="91"/>
      <c r="DQ287" s="91"/>
      <c r="DR287" s="91"/>
      <c r="DS287" s="91"/>
      <c r="DT287" s="91"/>
      <c r="DU287" s="91"/>
      <c r="DV287" s="91"/>
      <c r="DW287" s="91"/>
      <c r="DX287" s="91"/>
      <c r="DY287" s="91"/>
      <c r="DZ287" s="91"/>
      <c r="EA287" s="91"/>
      <c r="EB287" s="91"/>
      <c r="EC287" s="91"/>
      <c r="ED287" s="91"/>
      <c r="EE287" s="91"/>
      <c r="EF287" s="91"/>
      <c r="EG287" s="91"/>
      <c r="EH287" s="91"/>
      <c r="EI287" s="91"/>
      <c r="EJ287" s="91"/>
      <c r="EK287" s="91"/>
      <c r="EL287" s="91"/>
      <c r="EM287" s="91"/>
    </row>
    <row r="288" spans="1:143" ht="15" customHeight="1" outlineLevel="1">
      <c r="A288" s="118" t="s">
        <v>202</v>
      </c>
      <c r="B288" s="128" t="s">
        <v>211</v>
      </c>
      <c r="C288" s="129">
        <v>46324</v>
      </c>
      <c r="D288" s="129">
        <v>46325</v>
      </c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  <c r="DH288" s="91"/>
      <c r="DI288" s="91"/>
      <c r="DJ288" s="91"/>
      <c r="DK288" s="91"/>
      <c r="DL288" s="91"/>
      <c r="DM288" s="91"/>
      <c r="DN288" s="91"/>
      <c r="DO288" s="91"/>
      <c r="DP288" s="91"/>
      <c r="DQ288" s="91"/>
      <c r="DR288" s="91"/>
      <c r="DS288" s="91"/>
      <c r="DT288" s="91"/>
      <c r="DU288" s="91"/>
      <c r="DV288" s="91"/>
      <c r="DW288" s="91"/>
      <c r="DX288" s="91"/>
      <c r="DY288" s="91"/>
      <c r="DZ288" s="91"/>
      <c r="EA288" s="91"/>
      <c r="EB288" s="91"/>
      <c r="EC288" s="91"/>
      <c r="ED288" s="91"/>
      <c r="EE288" s="91"/>
      <c r="EF288" s="91"/>
      <c r="EG288" s="91"/>
      <c r="EH288" s="91"/>
      <c r="EI288" s="91"/>
      <c r="EJ288" s="91"/>
      <c r="EK288" s="91"/>
      <c r="EL288" s="91"/>
      <c r="EM288" s="91"/>
    </row>
    <row r="289" spans="1:143" ht="15" customHeight="1" outlineLevel="1">
      <c r="A289" s="118" t="s">
        <v>202</v>
      </c>
      <c r="B289" s="128" t="s">
        <v>212</v>
      </c>
      <c r="C289" s="129">
        <v>46326</v>
      </c>
      <c r="D289" s="129">
        <v>46327</v>
      </c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  <c r="DH289" s="91"/>
      <c r="DI289" s="91"/>
      <c r="DJ289" s="91"/>
      <c r="DK289" s="91"/>
      <c r="DL289" s="91"/>
      <c r="DM289" s="91"/>
      <c r="DN289" s="91"/>
      <c r="DO289" s="91"/>
      <c r="DP289" s="91"/>
      <c r="DQ289" s="91"/>
      <c r="DR289" s="91"/>
      <c r="DS289" s="91"/>
      <c r="DT289" s="91"/>
      <c r="DU289" s="91"/>
      <c r="DV289" s="91"/>
      <c r="DW289" s="91"/>
      <c r="DX289" s="91"/>
      <c r="DY289" s="91"/>
      <c r="DZ289" s="91"/>
      <c r="EA289" s="91"/>
      <c r="EB289" s="91"/>
      <c r="EC289" s="91"/>
      <c r="ED289" s="91"/>
      <c r="EE289" s="91"/>
      <c r="EF289" s="91"/>
      <c r="EG289" s="91"/>
      <c r="EH289" s="91"/>
      <c r="EI289" s="91"/>
      <c r="EJ289" s="91"/>
      <c r="EK289" s="91"/>
      <c r="EL289" s="91"/>
      <c r="EM289" s="91"/>
    </row>
    <row r="290" spans="1:143" ht="15" customHeight="1" outlineLevel="1">
      <c r="A290" s="118" t="s">
        <v>202</v>
      </c>
      <c r="B290" s="128" t="s">
        <v>213</v>
      </c>
      <c r="C290" s="129">
        <v>46328</v>
      </c>
      <c r="D290" s="129">
        <v>46329</v>
      </c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  <c r="DH290" s="91"/>
      <c r="DI290" s="91"/>
      <c r="DJ290" s="91"/>
      <c r="DK290" s="91"/>
      <c r="DL290" s="91"/>
      <c r="DM290" s="91"/>
      <c r="DN290" s="91"/>
      <c r="DO290" s="91"/>
      <c r="DP290" s="91"/>
      <c r="DQ290" s="91"/>
      <c r="DR290" s="91"/>
      <c r="DS290" s="91"/>
      <c r="DT290" s="91"/>
      <c r="DU290" s="91"/>
      <c r="DV290" s="91"/>
      <c r="DW290" s="91"/>
      <c r="DX290" s="91"/>
      <c r="DY290" s="91"/>
      <c r="DZ290" s="91"/>
      <c r="EA290" s="91"/>
      <c r="EB290" s="91"/>
      <c r="EC290" s="91"/>
      <c r="ED290" s="91"/>
      <c r="EE290" s="91"/>
      <c r="EF290" s="91"/>
      <c r="EG290" s="91"/>
      <c r="EH290" s="91"/>
      <c r="EI290" s="91"/>
      <c r="EJ290" s="91"/>
      <c r="EK290" s="91"/>
      <c r="EL290" s="91"/>
      <c r="EM290" s="91"/>
    </row>
    <row r="291" spans="1:143" ht="15" customHeight="1" outlineLevel="1">
      <c r="A291" s="118" t="s">
        <v>214</v>
      </c>
      <c r="B291" s="128" t="s">
        <v>215</v>
      </c>
      <c r="C291" s="129">
        <v>46330</v>
      </c>
      <c r="D291" s="129">
        <v>46331</v>
      </c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  <c r="DH291" s="91"/>
      <c r="DI291" s="91"/>
      <c r="DJ291" s="91"/>
      <c r="DK291" s="91"/>
      <c r="DL291" s="91"/>
      <c r="DM291" s="91"/>
      <c r="DN291" s="91"/>
      <c r="DO291" s="91"/>
      <c r="DP291" s="91"/>
      <c r="DQ291" s="91"/>
      <c r="DR291" s="91"/>
      <c r="DS291" s="91"/>
      <c r="DT291" s="91"/>
      <c r="DU291" s="91"/>
      <c r="DV291" s="91"/>
      <c r="DW291" s="91"/>
      <c r="DX291" s="91"/>
      <c r="DY291" s="91"/>
      <c r="DZ291" s="91"/>
      <c r="EA291" s="91"/>
      <c r="EB291" s="91"/>
      <c r="EC291" s="91"/>
      <c r="ED291" s="91"/>
      <c r="EE291" s="91"/>
      <c r="EF291" s="91"/>
      <c r="EG291" s="91"/>
      <c r="EH291" s="91"/>
      <c r="EI291" s="91"/>
      <c r="EJ291" s="91"/>
      <c r="EK291" s="91"/>
      <c r="EL291" s="91"/>
      <c r="EM291" s="91"/>
    </row>
    <row r="292" spans="1:143" ht="15" customHeight="1" outlineLevel="1">
      <c r="A292" s="118" t="s">
        <v>214</v>
      </c>
      <c r="B292" s="128" t="s">
        <v>216</v>
      </c>
      <c r="C292" s="129">
        <v>46332</v>
      </c>
      <c r="D292" s="129">
        <v>46332</v>
      </c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  <c r="DH292" s="91"/>
      <c r="DI292" s="91"/>
      <c r="DJ292" s="91"/>
      <c r="DK292" s="91"/>
      <c r="DL292" s="91"/>
      <c r="DM292" s="91"/>
      <c r="DN292" s="91"/>
      <c r="DO292" s="91"/>
      <c r="DP292" s="91"/>
      <c r="DQ292" s="91"/>
      <c r="DR292" s="91"/>
      <c r="DS292" s="91"/>
      <c r="DT292" s="91"/>
      <c r="DU292" s="91"/>
      <c r="DV292" s="91"/>
      <c r="DW292" s="91"/>
      <c r="DX292" s="91"/>
      <c r="DY292" s="91"/>
      <c r="DZ292" s="91"/>
      <c r="EA292" s="91"/>
      <c r="EB292" s="91"/>
      <c r="EC292" s="91"/>
      <c r="ED292" s="91"/>
      <c r="EE292" s="91"/>
      <c r="EF292" s="91"/>
      <c r="EG292" s="91"/>
      <c r="EH292" s="91"/>
      <c r="EI292" s="91"/>
      <c r="EJ292" s="91"/>
      <c r="EK292" s="91"/>
      <c r="EL292" s="91"/>
      <c r="EM292" s="91"/>
    </row>
    <row r="293" spans="1:143" ht="15" customHeight="1" outlineLevel="1">
      <c r="A293" s="118" t="s">
        <v>273</v>
      </c>
      <c r="B293" s="128" t="s">
        <v>236</v>
      </c>
      <c r="C293" s="129">
        <v>46327</v>
      </c>
      <c r="D293" s="129">
        <v>46329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  <c r="DH293" s="91"/>
      <c r="DI293" s="91"/>
      <c r="DJ293" s="91"/>
      <c r="DK293" s="91"/>
      <c r="DL293" s="91"/>
      <c r="DM293" s="91"/>
      <c r="DN293" s="91"/>
      <c r="DO293" s="91"/>
      <c r="DP293" s="91"/>
      <c r="DQ293" s="91"/>
      <c r="DR293" s="91"/>
      <c r="DS293" s="91"/>
      <c r="DT293" s="91"/>
      <c r="DU293" s="91"/>
      <c r="DV293" s="91"/>
      <c r="DW293" s="91"/>
      <c r="DX293" s="91"/>
      <c r="DY293" s="91"/>
      <c r="DZ293" s="91"/>
      <c r="EA293" s="91"/>
      <c r="EB293" s="91"/>
      <c r="EC293" s="91"/>
      <c r="ED293" s="91"/>
      <c r="EE293" s="91"/>
      <c r="EF293" s="91"/>
      <c r="EG293" s="91"/>
      <c r="EH293" s="91"/>
      <c r="EI293" s="91"/>
      <c r="EJ293" s="91"/>
      <c r="EK293" s="91"/>
      <c r="EL293" s="91"/>
      <c r="EM293" s="91"/>
    </row>
    <row r="294" spans="1:143" ht="15" customHeight="1" outlineLevel="1">
      <c r="A294" s="118" t="s">
        <v>214</v>
      </c>
      <c r="B294" s="128" t="s">
        <v>228</v>
      </c>
      <c r="C294" s="129">
        <v>46330</v>
      </c>
      <c r="D294" s="129">
        <v>46332</v>
      </c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  <c r="DI294" s="91"/>
      <c r="DJ294" s="91"/>
      <c r="DK294" s="91"/>
      <c r="DL294" s="91"/>
      <c r="DM294" s="91"/>
      <c r="DN294" s="91"/>
      <c r="DO294" s="91"/>
      <c r="DP294" s="91"/>
      <c r="DQ294" s="91"/>
      <c r="DR294" s="91"/>
      <c r="DS294" s="91"/>
      <c r="DT294" s="91"/>
      <c r="DU294" s="91"/>
      <c r="DV294" s="91"/>
      <c r="DW294" s="91"/>
      <c r="DX294" s="91"/>
      <c r="DY294" s="91"/>
      <c r="DZ294" s="91"/>
      <c r="EA294" s="91"/>
      <c r="EB294" s="91"/>
      <c r="EC294" s="91"/>
      <c r="ED294" s="91"/>
      <c r="EE294" s="91"/>
      <c r="EF294" s="91"/>
      <c r="EG294" s="91"/>
      <c r="EH294" s="91"/>
      <c r="EI294" s="91"/>
      <c r="EJ294" s="91"/>
      <c r="EK294" s="91"/>
      <c r="EL294" s="91"/>
      <c r="EM294" s="91"/>
    </row>
    <row r="295" spans="1:143" ht="15.65" customHeight="1" outlineLevel="1">
      <c r="A295" s="115" t="s">
        <v>274</v>
      </c>
      <c r="B295" s="128"/>
      <c r="C295" s="129"/>
      <c r="D295" s="129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  <c r="DH295" s="91"/>
      <c r="DI295" s="91"/>
      <c r="DJ295" s="91"/>
      <c r="DK295" s="91"/>
      <c r="DL295" s="91"/>
      <c r="DM295" s="91"/>
      <c r="DN295" s="91"/>
      <c r="DO295" s="91"/>
      <c r="DP295" s="91"/>
      <c r="DQ295" s="91"/>
      <c r="DR295" s="91"/>
      <c r="DS295" s="91"/>
      <c r="DT295" s="91"/>
      <c r="DU295" s="91"/>
      <c r="DV295" s="91"/>
      <c r="DW295" s="91"/>
      <c r="DX295" s="91"/>
      <c r="DY295" s="91"/>
      <c r="DZ295" s="91"/>
      <c r="EA295" s="91"/>
      <c r="EB295" s="91"/>
      <c r="EC295" s="91"/>
      <c r="ED295" s="91"/>
      <c r="EE295" s="91"/>
      <c r="EF295" s="91"/>
      <c r="EG295" s="91"/>
      <c r="EH295" s="91"/>
      <c r="EI295" s="91"/>
      <c r="EJ295" s="91"/>
      <c r="EK295" s="91"/>
      <c r="EL295" s="91"/>
      <c r="EM295" s="91"/>
    </row>
    <row r="296" spans="1:143" ht="15" customHeight="1" outlineLevel="1">
      <c r="A296" s="118" t="s">
        <v>202</v>
      </c>
      <c r="B296" s="128" t="s">
        <v>275</v>
      </c>
      <c r="C296" s="129">
        <v>46328</v>
      </c>
      <c r="D296" s="129">
        <v>46332</v>
      </c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  <c r="DH296" s="91"/>
      <c r="DI296" s="91"/>
      <c r="DJ296" s="91"/>
      <c r="DK296" s="91"/>
      <c r="DL296" s="91"/>
      <c r="DM296" s="91"/>
      <c r="DN296" s="91"/>
      <c r="DO296" s="91"/>
      <c r="DP296" s="91"/>
      <c r="DQ296" s="91"/>
      <c r="DR296" s="91"/>
      <c r="DS296" s="91"/>
      <c r="DT296" s="91"/>
      <c r="DU296" s="91"/>
      <c r="DV296" s="91"/>
      <c r="DW296" s="91"/>
      <c r="DX296" s="91"/>
      <c r="DY296" s="91"/>
      <c r="DZ296" s="91"/>
      <c r="EA296" s="91"/>
      <c r="EB296" s="91"/>
      <c r="EC296" s="91"/>
      <c r="ED296" s="91"/>
      <c r="EE296" s="91"/>
      <c r="EF296" s="91"/>
      <c r="EG296" s="91"/>
      <c r="EH296" s="91"/>
      <c r="EI296" s="91"/>
      <c r="EJ296" s="91"/>
      <c r="EK296" s="91"/>
      <c r="EL296" s="91"/>
      <c r="EM296" s="91"/>
    </row>
    <row r="297" spans="1:143" ht="15" customHeight="1" outlineLevel="1">
      <c r="A297" s="118" t="s">
        <v>202</v>
      </c>
      <c r="B297" s="128" t="s">
        <v>276</v>
      </c>
      <c r="C297" s="129">
        <v>46328</v>
      </c>
      <c r="D297" s="129">
        <v>46332</v>
      </c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  <c r="DH297" s="91"/>
      <c r="DI297" s="91"/>
      <c r="DJ297" s="91"/>
      <c r="DK297" s="91"/>
      <c r="DL297" s="91"/>
      <c r="DM297" s="91"/>
      <c r="DN297" s="91"/>
      <c r="DO297" s="91"/>
      <c r="DP297" s="91"/>
      <c r="DQ297" s="91"/>
      <c r="DR297" s="91"/>
      <c r="DS297" s="91"/>
      <c r="DT297" s="91"/>
      <c r="DU297" s="91"/>
      <c r="DV297" s="91"/>
      <c r="DW297" s="91"/>
      <c r="DX297" s="91"/>
      <c r="DY297" s="91"/>
      <c r="DZ297" s="91"/>
      <c r="EA297" s="91"/>
      <c r="EB297" s="91"/>
      <c r="EC297" s="91"/>
      <c r="ED297" s="91"/>
      <c r="EE297" s="91"/>
      <c r="EF297" s="91"/>
      <c r="EG297" s="91"/>
      <c r="EH297" s="91"/>
      <c r="EI297" s="91"/>
      <c r="EJ297" s="91"/>
      <c r="EK297" s="91"/>
      <c r="EL297" s="91"/>
      <c r="EM297" s="91"/>
    </row>
    <row r="298" spans="1:143" ht="15" customHeight="1" outlineLevel="1">
      <c r="A298" s="118" t="s">
        <v>202</v>
      </c>
      <c r="B298" s="128" t="s">
        <v>277</v>
      </c>
      <c r="C298" s="129">
        <v>46333</v>
      </c>
      <c r="D298" s="129">
        <v>46339</v>
      </c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  <c r="DH298" s="91"/>
      <c r="DI298" s="91"/>
      <c r="DJ298" s="91"/>
      <c r="DK298" s="91"/>
      <c r="DL298" s="91"/>
      <c r="DM298" s="91"/>
      <c r="DN298" s="91"/>
      <c r="DO298" s="91"/>
      <c r="DP298" s="91"/>
      <c r="DQ298" s="91"/>
      <c r="DR298" s="91"/>
      <c r="DS298" s="91"/>
      <c r="DT298" s="91"/>
      <c r="DU298" s="91"/>
      <c r="DV298" s="91"/>
      <c r="DW298" s="91"/>
      <c r="DX298" s="91"/>
      <c r="DY298" s="91"/>
      <c r="DZ298" s="91"/>
      <c r="EA298" s="91"/>
      <c r="EB298" s="91"/>
      <c r="EC298" s="91"/>
      <c r="ED298" s="91"/>
      <c r="EE298" s="91"/>
      <c r="EF298" s="91"/>
      <c r="EG298" s="91"/>
      <c r="EH298" s="91"/>
      <c r="EI298" s="91"/>
      <c r="EJ298" s="91"/>
      <c r="EK298" s="91"/>
      <c r="EL298" s="91"/>
      <c r="EM298" s="91"/>
    </row>
    <row r="299" spans="1:143" ht="15" customHeight="1" outlineLevel="1">
      <c r="A299" s="118" t="s">
        <v>214</v>
      </c>
      <c r="B299" s="128" t="s">
        <v>278</v>
      </c>
      <c r="C299" s="129">
        <v>46340</v>
      </c>
      <c r="D299" s="129">
        <v>46346</v>
      </c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  <c r="DH299" s="91"/>
      <c r="DI299" s="91"/>
      <c r="DJ299" s="91"/>
      <c r="DK299" s="91"/>
      <c r="DL299" s="91"/>
      <c r="DM299" s="91"/>
      <c r="DN299" s="91"/>
      <c r="DO299" s="91"/>
      <c r="DP299" s="91"/>
      <c r="DQ299" s="91"/>
      <c r="DR299" s="91"/>
      <c r="DS299" s="91"/>
      <c r="DT299" s="91"/>
      <c r="DU299" s="91"/>
      <c r="DV299" s="91"/>
      <c r="DW299" s="91"/>
      <c r="DX299" s="91"/>
      <c r="DY299" s="91"/>
      <c r="DZ299" s="91"/>
      <c r="EA299" s="91"/>
      <c r="EB299" s="91"/>
      <c r="EC299" s="91"/>
      <c r="ED299" s="91"/>
      <c r="EE299" s="91"/>
      <c r="EF299" s="91"/>
      <c r="EG299" s="91"/>
      <c r="EH299" s="91"/>
      <c r="EI299" s="91"/>
      <c r="EJ299" s="91"/>
      <c r="EK299" s="91"/>
      <c r="EL299" s="91"/>
      <c r="EM299" s="91"/>
    </row>
  </sheetData>
  <mergeCells count="15">
    <mergeCell ref="A83:A85"/>
    <mergeCell ref="A86:A89"/>
    <mergeCell ref="A90:A94"/>
    <mergeCell ref="A50:A54"/>
    <mergeCell ref="A55:A60"/>
    <mergeCell ref="A61:A63"/>
    <mergeCell ref="A64:A66"/>
    <mergeCell ref="A67:A69"/>
    <mergeCell ref="A70:A80"/>
    <mergeCell ref="A16:A18"/>
    <mergeCell ref="A19:A21"/>
    <mergeCell ref="A22:A26"/>
    <mergeCell ref="A27:A29"/>
    <mergeCell ref="A30:A34"/>
    <mergeCell ref="A35:A49"/>
  </mergeCells>
  <phoneticPr fontId="13" type="noConversion"/>
  <conditionalFormatting sqref="E135:J135">
    <cfRule type="expression" dxfId="6" priority="125">
      <formula>AND(S$15&gt;=$C135+1,S$15&lt;=$D135+1)</formula>
    </cfRule>
  </conditionalFormatting>
  <conditionalFormatting sqref="E95:BY107 S135:EM135 E170:EM189 E191:EM218 E220:EM222 E225:EM231 E233:EM245 E247:EM257 E260:EM261 E266:EM299">
    <cfRule type="expression" dxfId="5" priority="105">
      <formula>AND(F$15&gt;=$C95+1,F$15&lt;=$D95+1)</formula>
    </cfRule>
  </conditionalFormatting>
  <conditionalFormatting sqref="F58:BB58 F16:GB57 BF58:GB58 F59:GB94">
    <cfRule type="expression" dxfId="0" priority="104">
      <formula>AND(G$1&gt;=$C16+1,G$1&lt;=$D16+1)</formula>
    </cfRule>
  </conditionalFormatting>
  <conditionalFormatting sqref="K135:R135">
    <cfRule type="expression" dxfId="4" priority="109">
      <formula>AND(T$15&gt;=$C135+1,T$15&lt;=$D135+1)</formula>
    </cfRule>
  </conditionalFormatting>
  <conditionalFormatting sqref="S10:EF10">
    <cfRule type="cellIs" dxfId="3" priority="2" operator="greaterThan">
      <formula>0.85</formula>
    </cfRule>
  </conditionalFormatting>
  <conditionalFormatting sqref="BZ107:EM107 F108:EM109 G110:EM110 F111:EM134 F136:EM169">
    <cfRule type="expression" dxfId="2" priority="7">
      <formula>AND(G$15&gt;=$C107+1,G$15&lt;=$D107+1)</formula>
    </cfRule>
  </conditionalFormatting>
  <conditionalFormatting sqref="E16:E94">
    <cfRule type="expression" dxfId="1" priority="1">
      <formula>AND(K$1&gt;=$C16+1,K$1&lt;=$D16+1)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5"/>
  <sheetViews>
    <sheetView topLeftCell="AO1" zoomScale="70" zoomScaleNormal="70" workbookViewId="0">
      <selection activeCell="BG21" sqref="BG21"/>
    </sheetView>
  </sheetViews>
  <sheetFormatPr defaultColWidth="9" defaultRowHeight="14.15"/>
  <cols>
    <col min="1" max="1" width="11.53515625" customWidth="1"/>
    <col min="2" max="2" width="6.15234375" customWidth="1"/>
    <col min="5" max="5" width="5.4609375" customWidth="1"/>
    <col min="6" max="121" width="6.53515625" style="21" customWidth="1"/>
  </cols>
  <sheetData>
    <row r="1" spans="1:121" ht="15.65" customHeight="1">
      <c r="A1" s="22" t="s">
        <v>279</v>
      </c>
      <c r="B1" s="23" t="s">
        <v>95</v>
      </c>
      <c r="C1" s="23"/>
      <c r="D1" s="23"/>
      <c r="E1" s="24" t="s">
        <v>8</v>
      </c>
      <c r="F1" s="25">
        <v>46209</v>
      </c>
      <c r="G1" s="25">
        <v>46210</v>
      </c>
      <c r="H1" s="25">
        <v>46211</v>
      </c>
      <c r="I1" s="25">
        <v>46212</v>
      </c>
      <c r="J1" s="25">
        <v>46213</v>
      </c>
      <c r="K1" s="25">
        <v>46214</v>
      </c>
      <c r="L1" s="25">
        <v>46215</v>
      </c>
      <c r="M1" s="25">
        <v>46216</v>
      </c>
      <c r="N1" s="25">
        <v>46217</v>
      </c>
      <c r="O1" s="25">
        <v>46218</v>
      </c>
      <c r="P1" s="25">
        <v>46219</v>
      </c>
      <c r="Q1" s="25">
        <v>46220</v>
      </c>
      <c r="R1" s="25">
        <v>46221</v>
      </c>
      <c r="S1" s="25">
        <v>46222</v>
      </c>
      <c r="T1" s="25">
        <v>46223</v>
      </c>
      <c r="U1" s="25">
        <v>46224</v>
      </c>
      <c r="V1" s="25">
        <v>46225</v>
      </c>
      <c r="W1" s="25">
        <v>46226</v>
      </c>
      <c r="X1" s="25">
        <v>46227</v>
      </c>
      <c r="Y1" s="25">
        <v>46228</v>
      </c>
      <c r="Z1" s="26">
        <v>46229</v>
      </c>
      <c r="AA1" s="25">
        <v>46230</v>
      </c>
      <c r="AB1" s="25">
        <v>46231</v>
      </c>
      <c r="AC1" s="25">
        <v>46232</v>
      </c>
      <c r="AD1" s="25">
        <v>46233</v>
      </c>
      <c r="AE1" s="25">
        <v>46234</v>
      </c>
      <c r="AF1" s="25">
        <v>46235</v>
      </c>
      <c r="AG1" s="26">
        <v>46236</v>
      </c>
      <c r="AH1" s="25">
        <v>46237</v>
      </c>
      <c r="AI1" s="25">
        <v>46238</v>
      </c>
      <c r="AJ1" s="25">
        <v>46239</v>
      </c>
      <c r="AK1" s="25">
        <v>46240</v>
      </c>
      <c r="AL1" s="25">
        <v>46241</v>
      </c>
      <c r="AM1" s="25">
        <v>46242</v>
      </c>
      <c r="AN1" s="26">
        <v>46243</v>
      </c>
      <c r="AO1" s="25">
        <v>46244</v>
      </c>
      <c r="AP1" s="25">
        <v>46245</v>
      </c>
      <c r="AQ1" s="25">
        <v>46246</v>
      </c>
      <c r="AR1" s="25">
        <v>46247</v>
      </c>
      <c r="AS1" s="25">
        <v>46248</v>
      </c>
      <c r="AT1" s="25">
        <v>46249</v>
      </c>
      <c r="AU1" s="26">
        <v>46250</v>
      </c>
      <c r="AV1" s="25">
        <v>46251</v>
      </c>
      <c r="AW1" s="25">
        <v>46252</v>
      </c>
      <c r="AX1" s="25">
        <v>46253</v>
      </c>
      <c r="AY1" s="25">
        <v>46254</v>
      </c>
      <c r="AZ1" s="25">
        <v>46255</v>
      </c>
      <c r="BA1" s="25">
        <v>46256</v>
      </c>
      <c r="BB1" s="26">
        <v>46257</v>
      </c>
      <c r="BC1" s="25">
        <v>46258</v>
      </c>
      <c r="BD1" s="25">
        <v>46259</v>
      </c>
      <c r="BE1" s="25">
        <v>46260</v>
      </c>
      <c r="BF1" s="25">
        <v>46261</v>
      </c>
      <c r="BG1" s="25">
        <v>46262</v>
      </c>
      <c r="BH1" s="25">
        <v>46263</v>
      </c>
      <c r="BI1" s="26">
        <v>46264</v>
      </c>
      <c r="BJ1" s="25">
        <v>46265</v>
      </c>
      <c r="BK1" s="25">
        <v>46266</v>
      </c>
      <c r="BL1" s="25">
        <v>46267</v>
      </c>
      <c r="BM1" s="25">
        <v>46268</v>
      </c>
      <c r="BN1" s="25">
        <v>46269</v>
      </c>
      <c r="BO1" s="25">
        <v>46270</v>
      </c>
      <c r="BP1" s="26">
        <v>46271</v>
      </c>
      <c r="BQ1" s="27">
        <v>46272</v>
      </c>
      <c r="BR1" s="27">
        <v>46273</v>
      </c>
      <c r="BS1" s="27">
        <v>46274</v>
      </c>
      <c r="BT1" s="27">
        <v>46275</v>
      </c>
      <c r="BU1" s="27">
        <v>46276</v>
      </c>
      <c r="BV1" s="27">
        <v>46277</v>
      </c>
      <c r="BW1" s="26">
        <v>46278</v>
      </c>
      <c r="BX1" s="27">
        <v>46279</v>
      </c>
      <c r="BY1" s="27">
        <v>46280</v>
      </c>
      <c r="BZ1" s="27">
        <v>46281</v>
      </c>
      <c r="CA1" s="27">
        <v>46282</v>
      </c>
      <c r="CB1" s="27">
        <v>46283</v>
      </c>
      <c r="CC1" s="27">
        <v>46284</v>
      </c>
      <c r="CD1" s="26">
        <v>46285</v>
      </c>
      <c r="CE1" s="27">
        <v>46286</v>
      </c>
      <c r="CF1" s="27">
        <v>46287</v>
      </c>
      <c r="CG1" s="27">
        <v>46288</v>
      </c>
      <c r="CH1" s="27">
        <v>46289</v>
      </c>
      <c r="CI1" s="26">
        <v>46290</v>
      </c>
      <c r="CJ1" s="26">
        <v>46291</v>
      </c>
      <c r="CK1" s="26">
        <v>46292</v>
      </c>
      <c r="CL1" s="27">
        <v>46293</v>
      </c>
      <c r="CM1" s="27">
        <v>46294</v>
      </c>
      <c r="CN1" s="27">
        <v>46295</v>
      </c>
      <c r="CO1" s="26">
        <v>46296</v>
      </c>
      <c r="CP1" s="26">
        <v>46297</v>
      </c>
      <c r="CQ1" s="26">
        <v>46298</v>
      </c>
      <c r="CR1" s="26">
        <v>46299</v>
      </c>
      <c r="CS1" s="26">
        <v>46300</v>
      </c>
      <c r="CT1" s="26">
        <v>46301</v>
      </c>
      <c r="CU1" s="26">
        <v>46302</v>
      </c>
      <c r="CV1" s="28">
        <v>46303</v>
      </c>
      <c r="CW1" s="28">
        <v>46304</v>
      </c>
      <c r="CX1" s="28">
        <v>46305</v>
      </c>
      <c r="CY1" s="26">
        <v>46306</v>
      </c>
      <c r="CZ1" s="28">
        <v>46307</v>
      </c>
      <c r="DA1" s="28">
        <v>46308</v>
      </c>
      <c r="DB1" s="28">
        <v>46309</v>
      </c>
      <c r="DC1" s="28">
        <v>46310</v>
      </c>
      <c r="DD1" s="28">
        <v>46311</v>
      </c>
      <c r="DE1" s="28">
        <v>46312</v>
      </c>
      <c r="DF1" s="26">
        <v>46313</v>
      </c>
      <c r="DG1" s="28">
        <v>46314</v>
      </c>
      <c r="DH1" s="28">
        <v>46315</v>
      </c>
      <c r="DI1" s="28">
        <v>46316</v>
      </c>
      <c r="DJ1" s="28">
        <v>46317</v>
      </c>
      <c r="DK1" s="28">
        <v>46318</v>
      </c>
      <c r="DL1" s="28">
        <v>46319</v>
      </c>
      <c r="DM1" s="26">
        <v>46320</v>
      </c>
      <c r="DN1" s="28">
        <v>46321</v>
      </c>
      <c r="DO1" s="28">
        <v>46322</v>
      </c>
      <c r="DP1" s="28">
        <v>46323</v>
      </c>
      <c r="DQ1" s="28">
        <v>46324</v>
      </c>
    </row>
    <row r="2" spans="1:121" ht="15.65" customHeight="1">
      <c r="A2" s="22"/>
      <c r="B2" s="23"/>
      <c r="C2" s="23"/>
      <c r="D2" s="23"/>
      <c r="E2" s="24"/>
      <c r="F2" s="25" t="s">
        <v>280</v>
      </c>
      <c r="G2" s="25" t="s">
        <v>281</v>
      </c>
      <c r="H2" s="25" t="s">
        <v>282</v>
      </c>
      <c r="I2" s="25" t="s">
        <v>283</v>
      </c>
      <c r="J2" s="25" t="s">
        <v>284</v>
      </c>
      <c r="K2" s="29" t="s">
        <v>285</v>
      </c>
      <c r="L2" s="29" t="s">
        <v>286</v>
      </c>
      <c r="M2" s="25" t="s">
        <v>280</v>
      </c>
      <c r="N2" s="25" t="s">
        <v>281</v>
      </c>
      <c r="O2" s="25" t="s">
        <v>282</v>
      </c>
      <c r="P2" s="25" t="s">
        <v>283</v>
      </c>
      <c r="Q2" s="25" t="s">
        <v>284</v>
      </c>
      <c r="R2" s="29" t="s">
        <v>285</v>
      </c>
      <c r="S2" s="29" t="s">
        <v>286</v>
      </c>
      <c r="T2" s="25" t="s">
        <v>280</v>
      </c>
      <c r="U2" s="25" t="s">
        <v>281</v>
      </c>
      <c r="V2" s="25" t="s">
        <v>282</v>
      </c>
      <c r="W2" s="25" t="s">
        <v>283</v>
      </c>
      <c r="X2" s="25" t="s">
        <v>284</v>
      </c>
      <c r="Y2" s="29" t="s">
        <v>285</v>
      </c>
      <c r="Z2" s="29" t="s">
        <v>286</v>
      </c>
      <c r="AA2" s="25" t="s">
        <v>280</v>
      </c>
      <c r="AB2" s="25" t="s">
        <v>281</v>
      </c>
      <c r="AC2" s="25" t="s">
        <v>282</v>
      </c>
      <c r="AD2" s="25" t="s">
        <v>283</v>
      </c>
      <c r="AE2" s="25" t="s">
        <v>284</v>
      </c>
      <c r="AF2" s="29" t="s">
        <v>285</v>
      </c>
      <c r="AG2" s="29" t="s">
        <v>286</v>
      </c>
      <c r="AH2" s="25" t="s">
        <v>280</v>
      </c>
      <c r="AI2" s="25" t="s">
        <v>281</v>
      </c>
      <c r="AJ2" s="25" t="s">
        <v>282</v>
      </c>
      <c r="AK2" s="25" t="s">
        <v>283</v>
      </c>
      <c r="AL2" s="25" t="s">
        <v>284</v>
      </c>
      <c r="AM2" s="29" t="s">
        <v>285</v>
      </c>
      <c r="AN2" s="29" t="s">
        <v>286</v>
      </c>
      <c r="AO2" s="25" t="s">
        <v>280</v>
      </c>
      <c r="AP2" s="25" t="s">
        <v>281</v>
      </c>
      <c r="AQ2" s="25" t="s">
        <v>282</v>
      </c>
      <c r="AR2" s="25" t="s">
        <v>283</v>
      </c>
      <c r="AS2" s="25" t="s">
        <v>284</v>
      </c>
      <c r="AT2" s="29" t="s">
        <v>285</v>
      </c>
      <c r="AU2" s="29" t="s">
        <v>286</v>
      </c>
      <c r="AV2" s="25" t="s">
        <v>280</v>
      </c>
      <c r="AW2" s="25" t="s">
        <v>281</v>
      </c>
      <c r="AX2" s="25" t="s">
        <v>282</v>
      </c>
      <c r="AY2" s="25" t="s">
        <v>283</v>
      </c>
      <c r="AZ2" s="25" t="s">
        <v>284</v>
      </c>
      <c r="BA2" s="29" t="s">
        <v>285</v>
      </c>
      <c r="BB2" s="29" t="s">
        <v>286</v>
      </c>
      <c r="BC2" s="25" t="s">
        <v>280</v>
      </c>
      <c r="BD2" s="25" t="s">
        <v>281</v>
      </c>
      <c r="BE2" s="25" t="s">
        <v>282</v>
      </c>
      <c r="BF2" s="25" t="s">
        <v>283</v>
      </c>
      <c r="BG2" s="25" t="s">
        <v>284</v>
      </c>
      <c r="BH2" s="29" t="s">
        <v>285</v>
      </c>
      <c r="BI2" s="29" t="s">
        <v>286</v>
      </c>
      <c r="BJ2" s="25" t="s">
        <v>280</v>
      </c>
      <c r="BK2" s="25" t="s">
        <v>281</v>
      </c>
      <c r="BL2" s="25" t="s">
        <v>282</v>
      </c>
      <c r="BM2" s="25" t="s">
        <v>283</v>
      </c>
      <c r="BN2" s="25" t="s">
        <v>284</v>
      </c>
      <c r="BO2" s="29" t="s">
        <v>285</v>
      </c>
      <c r="BP2" s="29" t="s">
        <v>286</v>
      </c>
      <c r="BQ2" s="25" t="s">
        <v>280</v>
      </c>
      <c r="BR2" s="25" t="s">
        <v>281</v>
      </c>
      <c r="BS2" s="25" t="s">
        <v>282</v>
      </c>
      <c r="BT2" s="25" t="s">
        <v>283</v>
      </c>
      <c r="BU2" s="25" t="s">
        <v>284</v>
      </c>
      <c r="BV2" s="29" t="s">
        <v>285</v>
      </c>
      <c r="BW2" s="29" t="s">
        <v>286</v>
      </c>
      <c r="BX2" s="25" t="s">
        <v>280</v>
      </c>
      <c r="BY2" s="25" t="s">
        <v>281</v>
      </c>
      <c r="BZ2" s="25" t="s">
        <v>282</v>
      </c>
      <c r="CA2" s="25" t="s">
        <v>283</v>
      </c>
      <c r="CB2" s="25" t="s">
        <v>284</v>
      </c>
      <c r="CC2" s="29" t="s">
        <v>285</v>
      </c>
      <c r="CD2" s="29" t="s">
        <v>286</v>
      </c>
      <c r="CE2" s="25" t="s">
        <v>280</v>
      </c>
      <c r="CF2" s="25" t="s">
        <v>281</v>
      </c>
      <c r="CG2" s="25" t="s">
        <v>282</v>
      </c>
      <c r="CH2" s="25" t="s">
        <v>283</v>
      </c>
      <c r="CI2" s="25" t="s">
        <v>284</v>
      </c>
      <c r="CJ2" s="29" t="s">
        <v>285</v>
      </c>
      <c r="CK2" s="29" t="s">
        <v>286</v>
      </c>
      <c r="CL2" s="25" t="s">
        <v>280</v>
      </c>
      <c r="CM2" s="25" t="s">
        <v>281</v>
      </c>
      <c r="CN2" s="25" t="s">
        <v>282</v>
      </c>
      <c r="CO2" s="25" t="s">
        <v>283</v>
      </c>
      <c r="CP2" s="25" t="s">
        <v>284</v>
      </c>
      <c r="CQ2" s="29" t="s">
        <v>285</v>
      </c>
      <c r="CR2" s="29" t="s">
        <v>286</v>
      </c>
      <c r="CS2" s="25" t="s">
        <v>280</v>
      </c>
      <c r="CT2" s="25" t="s">
        <v>281</v>
      </c>
      <c r="CU2" s="25" t="s">
        <v>282</v>
      </c>
      <c r="CV2" s="25" t="s">
        <v>283</v>
      </c>
      <c r="CW2" s="25" t="s">
        <v>284</v>
      </c>
      <c r="CX2" s="29" t="s">
        <v>285</v>
      </c>
      <c r="CY2" s="29" t="s">
        <v>286</v>
      </c>
      <c r="CZ2" s="25" t="s">
        <v>280</v>
      </c>
      <c r="DA2" s="25" t="s">
        <v>281</v>
      </c>
      <c r="DB2" s="25" t="s">
        <v>282</v>
      </c>
      <c r="DC2" s="25" t="s">
        <v>283</v>
      </c>
      <c r="DD2" s="25" t="s">
        <v>284</v>
      </c>
      <c r="DE2" s="29" t="s">
        <v>285</v>
      </c>
      <c r="DF2" s="29" t="s">
        <v>286</v>
      </c>
      <c r="DG2" s="25" t="s">
        <v>280</v>
      </c>
      <c r="DH2" s="25" t="s">
        <v>281</v>
      </c>
      <c r="DI2" s="25" t="s">
        <v>282</v>
      </c>
      <c r="DJ2" s="25" t="s">
        <v>283</v>
      </c>
      <c r="DK2" s="25" t="s">
        <v>284</v>
      </c>
      <c r="DL2" s="29" t="s">
        <v>285</v>
      </c>
      <c r="DM2" s="29" t="s">
        <v>286</v>
      </c>
      <c r="DN2" s="25" t="s">
        <v>280</v>
      </c>
      <c r="DO2" s="25" t="s">
        <v>281</v>
      </c>
      <c r="DP2" s="25" t="s">
        <v>282</v>
      </c>
      <c r="DQ2" s="25" t="s">
        <v>283</v>
      </c>
    </row>
    <row r="3" spans="1:121" ht="15.65" customHeight="1">
      <c r="A3" s="30" t="s">
        <v>287</v>
      </c>
      <c r="B3" s="31">
        <f>SUM(S3:MK3)</f>
        <v>1604711.67266146</v>
      </c>
      <c r="C3" s="31"/>
      <c r="D3" s="31"/>
      <c r="E3" s="32"/>
      <c r="F3" s="32">
        <f>F4*F5</f>
        <v>19832</v>
      </c>
      <c r="G3" s="32">
        <f>G4*G5</f>
        <v>9916</v>
      </c>
      <c r="H3" s="32">
        <f>H4*H5</f>
        <v>9916</v>
      </c>
      <c r="I3" s="32">
        <f>I4*I5</f>
        <v>29748</v>
      </c>
      <c r="J3" s="32">
        <f>J4*J5</f>
        <v>29748</v>
      </c>
      <c r="K3" s="32"/>
      <c r="L3" s="32"/>
      <c r="M3" s="32">
        <f>M4*M5</f>
        <v>48735.568980611199</v>
      </c>
      <c r="N3" s="32">
        <f>N4*N5</f>
        <v>24367.784490305599</v>
      </c>
      <c r="O3" s="32">
        <f>O4*O5</f>
        <v>24367.784490305599</v>
      </c>
      <c r="P3" s="32">
        <f>P4*P5</f>
        <v>73103.353470916802</v>
      </c>
      <c r="Q3" s="32">
        <f>Q4*Q5</f>
        <v>73103.353470916802</v>
      </c>
      <c r="R3" s="32"/>
      <c r="S3" s="32"/>
      <c r="T3" s="32">
        <f>T4*T5</f>
        <v>51518.4113151938</v>
      </c>
      <c r="U3" s="32">
        <f>U4*U5</f>
        <v>25759.2056575969</v>
      </c>
      <c r="V3" s="32">
        <f>V4*V5</f>
        <v>25759.2056575969</v>
      </c>
      <c r="W3" s="32">
        <f>W4*W5</f>
        <v>77277.616972790696</v>
      </c>
      <c r="X3" s="32">
        <f>X4*X5</f>
        <v>77277.616972790696</v>
      </c>
      <c r="Y3" s="32"/>
      <c r="Z3" s="32"/>
      <c r="AA3" s="32">
        <f>AA4*AA5</f>
        <v>30736.538453393001</v>
      </c>
      <c r="AB3" s="32">
        <f>AB4*AB5</f>
        <v>15368.2692266965</v>
      </c>
      <c r="AC3" s="32">
        <f>AC4*AC5</f>
        <v>15368.2692266965</v>
      </c>
      <c r="AD3" s="32">
        <f>AD4*AD5</f>
        <v>46104.8076800895</v>
      </c>
      <c r="AE3" s="32">
        <f>AE4*AE5</f>
        <v>46104.8076800895</v>
      </c>
      <c r="AF3" s="32"/>
      <c r="AG3" s="32"/>
      <c r="AH3" s="32">
        <f>AH4*AH5</f>
        <v>28427.743126133199</v>
      </c>
      <c r="AI3" s="32">
        <f>AI4*AI5</f>
        <v>14213.871563066599</v>
      </c>
      <c r="AJ3" s="32">
        <f>AJ4*AJ5</f>
        <v>14213.871563066599</v>
      </c>
      <c r="AK3" s="32">
        <f>AK4*AK5</f>
        <v>42641.6146891998</v>
      </c>
      <c r="AL3" s="32">
        <f>AL4*AL5</f>
        <v>42641.6146891998</v>
      </c>
      <c r="AM3" s="32"/>
      <c r="AN3" s="32"/>
      <c r="AO3" s="32">
        <f>AO4*AO5</f>
        <v>36323.531541878801</v>
      </c>
      <c r="AP3" s="32">
        <f>AP4*AP5</f>
        <v>18161.765770939401</v>
      </c>
      <c r="AQ3" s="32">
        <f>AQ4*AQ5</f>
        <v>18161.765770939401</v>
      </c>
      <c r="AR3" s="32">
        <f>AR4*AR5</f>
        <v>54485.297312818198</v>
      </c>
      <c r="AS3" s="32">
        <f>AS4*AS5</f>
        <v>54485.297312818198</v>
      </c>
      <c r="AT3" s="32"/>
      <c r="AU3" s="32"/>
      <c r="AV3" s="32">
        <f>AV4*AV5</f>
        <v>27545.137254172601</v>
      </c>
      <c r="AW3" s="32">
        <f>AW4*AW5</f>
        <v>13772.568627086301</v>
      </c>
      <c r="AX3" s="32">
        <f>AX4*AX5</f>
        <v>13772.568627086301</v>
      </c>
      <c r="AY3" s="32">
        <f>AY4*AY5</f>
        <v>41317.705881258902</v>
      </c>
      <c r="AZ3" s="32">
        <f>AZ4*AZ5</f>
        <v>41317.705881258902</v>
      </c>
      <c r="BA3" s="32"/>
      <c r="BB3" s="32"/>
      <c r="BC3" s="32">
        <f>BC4*BC5</f>
        <v>26463.826476221398</v>
      </c>
      <c r="BD3" s="32">
        <f>BD4*BD5</f>
        <v>13231.913238110699</v>
      </c>
      <c r="BE3" s="32">
        <f>BE4*BE5</f>
        <v>13231.913238110699</v>
      </c>
      <c r="BF3" s="32">
        <f>BF4*BF5</f>
        <v>39695.7397143321</v>
      </c>
      <c r="BG3" s="32">
        <f>BG4*BG5</f>
        <v>39695.7397143321</v>
      </c>
      <c r="BH3" s="32"/>
      <c r="BI3" s="32"/>
      <c r="BJ3" s="32">
        <f t="shared" ref="BJ3:BO3" si="0">BJ4*BJ5</f>
        <v>39559.984602646298</v>
      </c>
      <c r="BK3" s="32">
        <f t="shared" si="0"/>
        <v>35930.818731742504</v>
      </c>
      <c r="BL3" s="32">
        <f t="shared" si="0"/>
        <v>8982.7046829356204</v>
      </c>
      <c r="BM3" s="32">
        <f t="shared" si="0"/>
        <v>17965.409365871201</v>
      </c>
      <c r="BN3" s="32">
        <f t="shared" si="0"/>
        <v>26948.1140488069</v>
      </c>
      <c r="BO3" s="32">
        <f t="shared" si="0"/>
        <v>0</v>
      </c>
      <c r="BP3" s="32"/>
      <c r="BQ3" s="32">
        <f>BQ4*BQ5</f>
        <v>18363.304463327098</v>
      </c>
      <c r="BR3" s="32">
        <f>BR4*BR5</f>
        <v>9181.6522316635692</v>
      </c>
      <c r="BS3" s="32">
        <f>BS4*BS5</f>
        <v>9181.6522316635692</v>
      </c>
      <c r="BT3" s="32">
        <f>BT4*BT5</f>
        <v>27544.956694990698</v>
      </c>
      <c r="BU3" s="32">
        <f>BU4*BU5</f>
        <v>27544.956694990698</v>
      </c>
      <c r="BV3" s="32"/>
      <c r="BW3" s="32"/>
      <c r="BX3" s="32">
        <f>BX4*BX5</f>
        <v>29376.389296851801</v>
      </c>
      <c r="BY3" s="32">
        <f>BY4*BY5</f>
        <v>14688.194648425901</v>
      </c>
      <c r="BZ3" s="32">
        <f>BZ4*BZ5</f>
        <v>14688.194648425901</v>
      </c>
      <c r="CA3" s="32">
        <f>CA4*CA5</f>
        <v>44064.5839452777</v>
      </c>
      <c r="CB3" s="32">
        <f>CB4*CB5</f>
        <v>44064.5839452777</v>
      </c>
      <c r="CC3" s="32"/>
      <c r="CD3" s="32"/>
      <c r="CE3" s="32">
        <f>CE4*CE5</f>
        <v>35806.066659648</v>
      </c>
      <c r="CF3" s="32">
        <f>CF4*CF5</f>
        <v>17903.033329824</v>
      </c>
      <c r="CG3" s="32">
        <f>CG4*CG5</f>
        <v>17903.033329824</v>
      </c>
      <c r="CH3" s="32">
        <f>CH4*CH5</f>
        <v>53709.099989472001</v>
      </c>
      <c r="CI3" s="32">
        <f>CI4*CI5</f>
        <v>53709.099989472001</v>
      </c>
      <c r="CJ3" s="32"/>
      <c r="CK3" s="32"/>
      <c r="CL3" s="32">
        <f>CL4*CL5</f>
        <v>21007.9593181454</v>
      </c>
      <c r="CM3" s="32">
        <f>CM4*CM5</f>
        <v>21007.9593181454</v>
      </c>
      <c r="CN3" s="32">
        <f>CN4*CN5</f>
        <v>10503.9796590727</v>
      </c>
      <c r="CO3" s="32">
        <f>CO4*CO5</f>
        <v>0</v>
      </c>
      <c r="CP3" s="32">
        <f>CP4*CP5</f>
        <v>0</v>
      </c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</row>
    <row r="4" spans="1:121" ht="15.65" customHeight="1">
      <c r="A4" t="s">
        <v>288</v>
      </c>
      <c r="F4" s="33">
        <v>99160</v>
      </c>
      <c r="G4" s="34">
        <v>99160</v>
      </c>
      <c r="H4" s="34">
        <v>99160</v>
      </c>
      <c r="I4" s="34">
        <v>99160</v>
      </c>
      <c r="J4" s="34">
        <v>99160</v>
      </c>
      <c r="K4" s="32"/>
      <c r="L4" s="32"/>
      <c r="M4" s="33">
        <v>243677.84490305599</v>
      </c>
      <c r="N4" s="32">
        <v>243677.84490305599</v>
      </c>
      <c r="O4" s="32">
        <v>243677.84490305599</v>
      </c>
      <c r="P4" s="32">
        <v>243677.84490305599</v>
      </c>
      <c r="Q4" s="32">
        <v>243677.84490305599</v>
      </c>
      <c r="R4" s="32"/>
      <c r="S4" s="35"/>
      <c r="T4" s="33">
        <v>257592.05657596901</v>
      </c>
      <c r="U4" s="36">
        <v>257592.05657596901</v>
      </c>
      <c r="V4" s="36">
        <v>257592.05657596901</v>
      </c>
      <c r="W4" s="36">
        <v>257592.05657596901</v>
      </c>
      <c r="X4" s="36">
        <v>257592.05657596901</v>
      </c>
      <c r="Y4" s="36"/>
      <c r="Z4" s="36"/>
      <c r="AA4" s="33">
        <v>153682.69226696499</v>
      </c>
      <c r="AB4" s="36">
        <v>153682.69226696499</v>
      </c>
      <c r="AC4" s="36">
        <v>153682.69226696499</v>
      </c>
      <c r="AD4" s="36">
        <v>153682.69226696499</v>
      </c>
      <c r="AE4" s="36">
        <v>153682.69226696499</v>
      </c>
      <c r="AF4" s="36"/>
      <c r="AG4" s="36"/>
      <c r="AH4" s="33">
        <v>142138.715630666</v>
      </c>
      <c r="AI4" s="36">
        <v>142138.715630666</v>
      </c>
      <c r="AJ4" s="36">
        <v>142138.715630666</v>
      </c>
      <c r="AK4" s="36">
        <v>142138.715630666</v>
      </c>
      <c r="AL4" s="36">
        <v>142138.715630666</v>
      </c>
      <c r="AM4" s="36"/>
      <c r="AN4" s="36"/>
      <c r="AO4" s="33">
        <v>181617.657709394</v>
      </c>
      <c r="AP4" s="36">
        <v>181617.657709394</v>
      </c>
      <c r="AQ4" s="36">
        <v>181617.657709394</v>
      </c>
      <c r="AR4" s="36">
        <v>181617.657709394</v>
      </c>
      <c r="AS4" s="36">
        <v>181617.657709394</v>
      </c>
      <c r="AT4" s="36"/>
      <c r="AU4" s="36"/>
      <c r="AV4" s="33">
        <v>137725.68627086299</v>
      </c>
      <c r="AW4" s="36">
        <v>137725.68627086299</v>
      </c>
      <c r="AX4" s="36">
        <v>137725.68627086299</v>
      </c>
      <c r="AY4" s="36">
        <v>137725.68627086299</v>
      </c>
      <c r="AZ4" s="36">
        <v>137725.68627086299</v>
      </c>
      <c r="BA4" s="36"/>
      <c r="BB4" s="36"/>
      <c r="BC4" s="33">
        <v>132319.13238110699</v>
      </c>
      <c r="BD4" s="36">
        <v>132319.13238110699</v>
      </c>
      <c r="BE4" s="36">
        <v>132319.13238110699</v>
      </c>
      <c r="BF4" s="36">
        <v>132319.13238110699</v>
      </c>
      <c r="BG4" s="36">
        <v>132319.13238110699</v>
      </c>
      <c r="BH4" s="36"/>
      <c r="BI4" s="36"/>
      <c r="BJ4" s="33">
        <v>39559.984602646298</v>
      </c>
      <c r="BK4" s="33">
        <v>89827.046829356201</v>
      </c>
      <c r="BL4" s="36">
        <v>89827.046829356201</v>
      </c>
      <c r="BM4" s="36">
        <v>89827.046829356201</v>
      </c>
      <c r="BN4" s="36">
        <v>89827.046829356201</v>
      </c>
      <c r="BO4" s="36"/>
      <c r="BP4" s="36"/>
      <c r="BQ4" s="33">
        <v>91816.522316635703</v>
      </c>
      <c r="BR4" s="36">
        <v>91816.522316635703</v>
      </c>
      <c r="BS4" s="36">
        <v>91816.522316635703</v>
      </c>
      <c r="BT4" s="36">
        <v>91816.522316635703</v>
      </c>
      <c r="BU4" s="36">
        <v>91816.522316635703</v>
      </c>
      <c r="BV4" s="36"/>
      <c r="BW4" s="36"/>
      <c r="BX4" s="33">
        <v>146881.94648425901</v>
      </c>
      <c r="BY4" s="36">
        <v>146881.94648425901</v>
      </c>
      <c r="BZ4" s="36">
        <v>146881.94648425901</v>
      </c>
      <c r="CA4" s="36">
        <v>146881.94648425901</v>
      </c>
      <c r="CB4" s="36">
        <v>146881.94648425901</v>
      </c>
      <c r="CC4" s="36"/>
      <c r="CD4" s="36"/>
      <c r="CE4" s="33">
        <v>179030.33329824</v>
      </c>
      <c r="CF4" s="36">
        <v>179030.33329824</v>
      </c>
      <c r="CG4" s="36">
        <v>179030.33329824</v>
      </c>
      <c r="CH4" s="36">
        <v>179030.33329824</v>
      </c>
      <c r="CI4" s="36">
        <v>179030.33329824</v>
      </c>
      <c r="CJ4" s="36"/>
      <c r="CK4" s="36"/>
      <c r="CL4" s="33">
        <v>52519.898295363397</v>
      </c>
      <c r="CM4" s="36">
        <v>52519.898295363397</v>
      </c>
      <c r="CN4" s="36">
        <v>52519.898295363397</v>
      </c>
      <c r="CO4" s="36">
        <v>52519.898295363397</v>
      </c>
      <c r="CP4" s="36">
        <v>52519.898295363397</v>
      </c>
    </row>
    <row r="5" spans="1:121">
      <c r="A5" t="s">
        <v>289</v>
      </c>
      <c r="F5" s="37">
        <v>0.2</v>
      </c>
      <c r="G5" s="37">
        <v>0.1</v>
      </c>
      <c r="H5" s="37">
        <v>0.1</v>
      </c>
      <c r="I5" s="37">
        <v>0.3</v>
      </c>
      <c r="J5" s="37">
        <v>0.3</v>
      </c>
      <c r="M5" s="37">
        <v>0.2</v>
      </c>
      <c r="N5" s="37">
        <v>0.1</v>
      </c>
      <c r="O5" s="37">
        <v>0.1</v>
      </c>
      <c r="P5" s="37">
        <v>0.3</v>
      </c>
      <c r="Q5" s="37">
        <v>0.3</v>
      </c>
      <c r="T5" s="37">
        <v>0.2</v>
      </c>
      <c r="U5" s="37">
        <v>0.1</v>
      </c>
      <c r="V5" s="37">
        <v>0.1</v>
      </c>
      <c r="W5" s="37">
        <v>0.3</v>
      </c>
      <c r="X5" s="37">
        <v>0.3</v>
      </c>
      <c r="AA5" s="37">
        <v>0.2</v>
      </c>
      <c r="AB5" s="37">
        <v>0.1</v>
      </c>
      <c r="AC5" s="37">
        <v>0.1</v>
      </c>
      <c r="AD5" s="37">
        <v>0.3</v>
      </c>
      <c r="AE5" s="37">
        <v>0.3</v>
      </c>
      <c r="AH5" s="37">
        <v>0.2</v>
      </c>
      <c r="AI5" s="37">
        <v>0.1</v>
      </c>
      <c r="AJ5" s="37">
        <v>0.1</v>
      </c>
      <c r="AK5" s="37">
        <v>0.3</v>
      </c>
      <c r="AL5" s="37">
        <v>0.3</v>
      </c>
      <c r="AO5" s="37">
        <v>0.2</v>
      </c>
      <c r="AP5" s="37">
        <v>0.1</v>
      </c>
      <c r="AQ5" s="37">
        <v>0.1</v>
      </c>
      <c r="AR5" s="37">
        <v>0.3</v>
      </c>
      <c r="AS5" s="37">
        <v>0.3</v>
      </c>
      <c r="AV5" s="37">
        <v>0.2</v>
      </c>
      <c r="AW5" s="37">
        <v>0.1</v>
      </c>
      <c r="AX5" s="37">
        <v>0.1</v>
      </c>
      <c r="AY5" s="37">
        <v>0.3</v>
      </c>
      <c r="AZ5" s="37">
        <v>0.3</v>
      </c>
      <c r="BC5" s="37">
        <v>0.2</v>
      </c>
      <c r="BD5" s="37">
        <v>0.1</v>
      </c>
      <c r="BE5" s="37">
        <v>0.1</v>
      </c>
      <c r="BF5" s="37">
        <v>0.3</v>
      </c>
      <c r="BG5" s="37">
        <v>0.3</v>
      </c>
      <c r="BJ5" s="37">
        <v>1</v>
      </c>
      <c r="BK5" s="37">
        <v>0.4</v>
      </c>
      <c r="BL5" s="37">
        <v>0.1</v>
      </c>
      <c r="BM5" s="37">
        <v>0.2</v>
      </c>
      <c r="BN5" s="37">
        <v>0.3</v>
      </c>
      <c r="BO5" s="37"/>
      <c r="BQ5" s="37">
        <v>0.2</v>
      </c>
      <c r="BR5" s="37">
        <v>0.1</v>
      </c>
      <c r="BS5" s="37">
        <v>0.1</v>
      </c>
      <c r="BT5" s="37">
        <v>0.3</v>
      </c>
      <c r="BU5" s="37">
        <v>0.3</v>
      </c>
      <c r="BX5" s="37">
        <v>0.2</v>
      </c>
      <c r="BY5" s="37">
        <v>0.1</v>
      </c>
      <c r="BZ5" s="37">
        <v>0.1</v>
      </c>
      <c r="CA5" s="37">
        <v>0.3</v>
      </c>
      <c r="CB5" s="37">
        <v>0.3</v>
      </c>
      <c r="CE5" s="37">
        <v>0.2</v>
      </c>
      <c r="CF5" s="37">
        <v>0.1</v>
      </c>
      <c r="CG5" s="37">
        <v>0.1</v>
      </c>
      <c r="CH5" s="37">
        <v>0.3</v>
      </c>
      <c r="CI5" s="37">
        <v>0.3</v>
      </c>
      <c r="CL5" s="37">
        <v>0.4</v>
      </c>
      <c r="CM5" s="37">
        <v>0.4</v>
      </c>
      <c r="CN5" s="37">
        <v>0.2</v>
      </c>
      <c r="CO5" s="37"/>
      <c r="CP5" s="37"/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>
      <selection activeCell="T2" sqref="T2"/>
    </sheetView>
  </sheetViews>
  <sheetFormatPr defaultColWidth="9" defaultRowHeight="14.15"/>
  <cols>
    <col min="1" max="1" width="8.53515625" customWidth="1"/>
    <col min="2" max="2" width="7.921875" customWidth="1"/>
    <col min="3" max="4" width="6.84375" customWidth="1"/>
    <col min="5" max="8" width="7.84375" customWidth="1"/>
    <col min="9" max="10" width="6.84375" customWidth="1"/>
    <col min="11" max="14" width="7.84375" customWidth="1"/>
    <col min="15" max="15" width="8.61328125" customWidth="1"/>
    <col min="16" max="17" width="6.84375" customWidth="1"/>
    <col min="18" max="20" width="7.84375" customWidth="1"/>
    <col min="21" max="21" width="8.53515625" customWidth="1"/>
  </cols>
  <sheetData>
    <row r="1" spans="1:21">
      <c r="A1" s="11" t="s">
        <v>290</v>
      </c>
      <c r="B1" s="12" t="s">
        <v>291</v>
      </c>
      <c r="C1" s="13" t="s">
        <v>292</v>
      </c>
      <c r="D1" s="13" t="s">
        <v>293</v>
      </c>
      <c r="E1" s="14" t="s">
        <v>294</v>
      </c>
      <c r="F1" s="14" t="s">
        <v>295</v>
      </c>
      <c r="G1" s="14" t="s">
        <v>296</v>
      </c>
      <c r="H1" s="15" t="s">
        <v>297</v>
      </c>
      <c r="I1" s="14" t="s">
        <v>298</v>
      </c>
      <c r="J1" s="14" t="s">
        <v>299</v>
      </c>
      <c r="K1" s="14" t="s">
        <v>300</v>
      </c>
      <c r="L1" s="14" t="s">
        <v>301</v>
      </c>
      <c r="M1" s="14" t="s">
        <v>302</v>
      </c>
      <c r="N1" s="14" t="s">
        <v>303</v>
      </c>
      <c r="O1" s="16" t="s">
        <v>304</v>
      </c>
      <c r="P1" s="14" t="s">
        <v>305</v>
      </c>
      <c r="Q1" s="14" t="s">
        <v>306</v>
      </c>
      <c r="R1" s="14" t="s">
        <v>307</v>
      </c>
      <c r="S1" s="14" t="s">
        <v>308</v>
      </c>
      <c r="T1" s="14" t="s">
        <v>309</v>
      </c>
      <c r="U1" s="16" t="s">
        <v>310</v>
      </c>
    </row>
    <row r="2" spans="1:21" ht="15.65" customHeight="1">
      <c r="A2" s="17" t="s">
        <v>311</v>
      </c>
      <c r="B2" s="18" t="s">
        <v>312</v>
      </c>
      <c r="C2" s="19">
        <v>25200</v>
      </c>
      <c r="D2" s="19">
        <v>99160</v>
      </c>
      <c r="E2" s="19">
        <v>243677.84490305599</v>
      </c>
      <c r="F2" s="19">
        <v>257592.05657596901</v>
      </c>
      <c r="G2" s="19">
        <v>153682.69226696499</v>
      </c>
      <c r="H2" s="20">
        <v>779312.59374598996</v>
      </c>
      <c r="I2" s="19">
        <v>0</v>
      </c>
      <c r="J2" s="19">
        <v>142138.715630666</v>
      </c>
      <c r="K2" s="19">
        <v>181617.657709394</v>
      </c>
      <c r="L2" s="19">
        <v>137725.68627086299</v>
      </c>
      <c r="M2" s="19">
        <v>132319.13238110699</v>
      </c>
      <c r="N2" s="19">
        <v>39559.984602646298</v>
      </c>
      <c r="O2" s="20">
        <v>633361.17659467703</v>
      </c>
      <c r="P2" s="19">
        <v>89827.046829356201</v>
      </c>
      <c r="Q2" s="19">
        <v>91816.522316635703</v>
      </c>
      <c r="R2" s="19">
        <v>146881.94648425901</v>
      </c>
      <c r="S2" s="19">
        <v>179030.33329824</v>
      </c>
      <c r="T2" s="19">
        <v>52519.898295363397</v>
      </c>
      <c r="U2" s="20">
        <v>560075.74722385395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8"/>
  <sheetViews>
    <sheetView workbookViewId="0">
      <selection activeCell="I3" sqref="I3"/>
    </sheetView>
  </sheetViews>
  <sheetFormatPr defaultColWidth="9" defaultRowHeight="14.15"/>
  <cols>
    <col min="1" max="1" width="11.3828125" customWidth="1"/>
    <col min="2" max="5" width="6.23046875" customWidth="1"/>
    <col min="6" max="6" width="7.23046875" customWidth="1"/>
  </cols>
  <sheetData>
    <row r="1" spans="1:7">
      <c r="A1" s="7" t="s">
        <v>313</v>
      </c>
      <c r="B1" s="8" t="s">
        <v>314</v>
      </c>
      <c r="C1" s="8" t="s">
        <v>315</v>
      </c>
      <c r="D1" s="8" t="s">
        <v>316</v>
      </c>
      <c r="E1" s="8" t="s">
        <v>317</v>
      </c>
      <c r="F1" s="8" t="s">
        <v>318</v>
      </c>
      <c r="G1" s="8" t="s">
        <v>8</v>
      </c>
    </row>
    <row r="2" spans="1:7">
      <c r="A2" s="7">
        <v>45841</v>
      </c>
      <c r="B2" s="8"/>
      <c r="C2" s="8">
        <v>83</v>
      </c>
      <c r="D2" s="8">
        <v>50</v>
      </c>
      <c r="E2" s="8">
        <v>10</v>
      </c>
      <c r="F2" s="8">
        <v>143</v>
      </c>
      <c r="G2" s="8"/>
    </row>
    <row r="3" spans="1:7">
      <c r="A3" s="7">
        <v>45842</v>
      </c>
      <c r="B3" s="8"/>
      <c r="C3" s="8">
        <v>33</v>
      </c>
      <c r="D3" s="8"/>
      <c r="E3" s="8"/>
      <c r="F3" s="8">
        <v>33</v>
      </c>
      <c r="G3" s="8"/>
    </row>
    <row r="4" spans="1:7">
      <c r="A4" s="7">
        <v>45846</v>
      </c>
      <c r="B4" s="8"/>
      <c r="C4" s="8">
        <v>1922</v>
      </c>
      <c r="D4" s="8">
        <v>142</v>
      </c>
      <c r="E4" s="8">
        <v>2</v>
      </c>
      <c r="F4" s="8">
        <v>2066</v>
      </c>
      <c r="G4" s="8"/>
    </row>
    <row r="5" spans="1:7">
      <c r="A5" s="7">
        <v>45847</v>
      </c>
      <c r="B5" s="8"/>
      <c r="C5" s="8">
        <v>2553</v>
      </c>
      <c r="D5" s="8">
        <v>1580</v>
      </c>
      <c r="E5" s="8">
        <v>302</v>
      </c>
      <c r="F5" s="8">
        <v>4435</v>
      </c>
      <c r="G5" s="8"/>
    </row>
    <row r="6" spans="1:7">
      <c r="A6" s="7">
        <v>45848</v>
      </c>
      <c r="B6" s="8"/>
      <c r="C6" s="8">
        <v>1591</v>
      </c>
      <c r="D6" s="8">
        <v>116</v>
      </c>
      <c r="E6" s="8">
        <v>144</v>
      </c>
      <c r="F6" s="8">
        <v>1851</v>
      </c>
      <c r="G6" s="8"/>
    </row>
    <row r="7" spans="1:7">
      <c r="A7" s="7">
        <v>45849</v>
      </c>
      <c r="B7" s="8">
        <v>36</v>
      </c>
      <c r="C7" s="8">
        <v>36571</v>
      </c>
      <c r="D7" s="8">
        <v>4441</v>
      </c>
      <c r="E7" s="8">
        <v>337</v>
      </c>
      <c r="F7" s="8">
        <v>41385</v>
      </c>
      <c r="G7" s="8"/>
    </row>
    <row r="8" spans="1:7">
      <c r="A8" s="7">
        <v>45850</v>
      </c>
      <c r="B8" s="8">
        <v>4262</v>
      </c>
      <c r="C8" s="8">
        <v>16250</v>
      </c>
      <c r="D8" s="8">
        <v>5724</v>
      </c>
      <c r="E8" s="8">
        <v>6987</v>
      </c>
      <c r="F8" s="8">
        <v>33223</v>
      </c>
      <c r="G8" s="8"/>
    </row>
    <row r="9" spans="1:7">
      <c r="A9" s="7">
        <v>45852</v>
      </c>
      <c r="B9" s="8">
        <v>14061</v>
      </c>
      <c r="C9" s="8">
        <v>16163</v>
      </c>
      <c r="D9" s="8">
        <v>18554</v>
      </c>
      <c r="E9" s="8">
        <v>13834</v>
      </c>
      <c r="F9" s="8">
        <v>62612</v>
      </c>
      <c r="G9" s="8"/>
    </row>
    <row r="10" spans="1:7">
      <c r="A10" s="7">
        <v>45853</v>
      </c>
      <c r="B10" s="8">
        <v>21121</v>
      </c>
      <c r="C10" s="8">
        <v>7682</v>
      </c>
      <c r="D10" s="8">
        <v>18476</v>
      </c>
      <c r="E10" s="8">
        <v>12619</v>
      </c>
      <c r="F10" s="8">
        <v>59898</v>
      </c>
      <c r="G10" s="8"/>
    </row>
    <row r="11" spans="1:7">
      <c r="A11" s="7">
        <v>45854</v>
      </c>
      <c r="B11" s="8">
        <v>3587</v>
      </c>
      <c r="C11" s="8">
        <v>16124</v>
      </c>
      <c r="D11" s="8">
        <v>16836</v>
      </c>
      <c r="E11" s="8">
        <v>5349</v>
      </c>
      <c r="F11" s="8">
        <v>41896</v>
      </c>
      <c r="G11" s="8"/>
    </row>
    <row r="12" spans="1:7">
      <c r="A12" s="7">
        <v>45855</v>
      </c>
      <c r="B12" s="8">
        <v>4609</v>
      </c>
      <c r="C12" s="8">
        <v>2474</v>
      </c>
      <c r="D12" s="8">
        <v>3695</v>
      </c>
      <c r="E12" s="8">
        <v>3626</v>
      </c>
      <c r="F12" s="8">
        <v>14404</v>
      </c>
      <c r="G12" s="8"/>
    </row>
    <row r="13" spans="1:7">
      <c r="A13" s="7">
        <v>45856</v>
      </c>
      <c r="B13" s="8">
        <v>9088</v>
      </c>
      <c r="C13" s="8">
        <v>26036</v>
      </c>
      <c r="D13" s="8">
        <v>29861</v>
      </c>
      <c r="E13" s="8">
        <v>15276</v>
      </c>
      <c r="F13" s="8">
        <v>80261</v>
      </c>
      <c r="G13" s="8" t="s">
        <v>319</v>
      </c>
    </row>
    <row r="14" spans="1:7">
      <c r="A14" s="7">
        <v>45859</v>
      </c>
      <c r="B14" s="8">
        <v>8373</v>
      </c>
      <c r="C14" s="8">
        <v>43298</v>
      </c>
      <c r="D14" s="8">
        <v>22176</v>
      </c>
      <c r="E14" s="8">
        <v>23527</v>
      </c>
      <c r="F14" s="8">
        <v>97374</v>
      </c>
      <c r="G14" s="8" t="s">
        <v>319</v>
      </c>
    </row>
    <row r="15" spans="1:7">
      <c r="A15" s="9">
        <v>45860</v>
      </c>
      <c r="B15" s="10">
        <v>13937</v>
      </c>
      <c r="C15" s="10">
        <v>38874</v>
      </c>
      <c r="D15" s="10">
        <v>28253</v>
      </c>
      <c r="E15" s="10">
        <v>26316</v>
      </c>
      <c r="F15" s="10">
        <v>107380</v>
      </c>
      <c r="G15" s="8" t="s">
        <v>320</v>
      </c>
    </row>
    <row r="16" spans="1:7">
      <c r="A16" s="7">
        <v>45861</v>
      </c>
      <c r="B16" s="8">
        <v>200</v>
      </c>
      <c r="C16" s="8">
        <v>2937</v>
      </c>
      <c r="D16" s="8">
        <v>831</v>
      </c>
      <c r="E16" s="8">
        <v>820</v>
      </c>
      <c r="F16" s="8">
        <v>4788</v>
      </c>
      <c r="G16" s="8"/>
    </row>
    <row r="17" spans="1:7">
      <c r="A17" s="7">
        <v>45862</v>
      </c>
      <c r="B17" s="8">
        <v>1399</v>
      </c>
      <c r="C17" s="8">
        <v>6859</v>
      </c>
      <c r="D17" s="8">
        <v>1739</v>
      </c>
      <c r="E17" s="8">
        <v>2512</v>
      </c>
      <c r="F17" s="8">
        <v>12509</v>
      </c>
      <c r="G17" s="8"/>
    </row>
    <row r="18" spans="1:7">
      <c r="A18" s="7">
        <v>45863</v>
      </c>
      <c r="B18" s="8">
        <v>617</v>
      </c>
      <c r="C18" s="8">
        <v>13027</v>
      </c>
      <c r="D18" s="8">
        <v>9249</v>
      </c>
      <c r="E18" s="8">
        <v>2534</v>
      </c>
      <c r="F18" s="8">
        <v>25427</v>
      </c>
      <c r="G18" s="8"/>
    </row>
    <row r="19" spans="1:7">
      <c r="A19" s="7">
        <v>45864</v>
      </c>
      <c r="B19" s="8">
        <v>2968</v>
      </c>
      <c r="C19" s="8">
        <v>26290</v>
      </c>
      <c r="D19" s="8">
        <v>6293</v>
      </c>
      <c r="E19" s="8">
        <v>31974</v>
      </c>
      <c r="F19" s="8">
        <v>67525</v>
      </c>
      <c r="G19" s="8"/>
    </row>
    <row r="20" spans="1:7">
      <c r="A20" s="9">
        <v>45866</v>
      </c>
      <c r="B20" s="10">
        <v>6686</v>
      </c>
      <c r="C20" s="10">
        <v>77513</v>
      </c>
      <c r="D20" s="10">
        <v>26267</v>
      </c>
      <c r="E20" s="10">
        <v>9981</v>
      </c>
      <c r="F20" s="10">
        <v>120447</v>
      </c>
      <c r="G20" s="8" t="s">
        <v>320</v>
      </c>
    </row>
    <row r="21" spans="1:7">
      <c r="A21" s="9">
        <v>45867</v>
      </c>
      <c r="B21" s="10">
        <v>3262</v>
      </c>
      <c r="C21" s="10">
        <v>53162</v>
      </c>
      <c r="D21" s="10">
        <v>17511</v>
      </c>
      <c r="E21" s="10">
        <v>35830</v>
      </c>
      <c r="F21" s="10">
        <v>109765</v>
      </c>
      <c r="G21" s="8" t="s">
        <v>320</v>
      </c>
    </row>
    <row r="22" spans="1:7">
      <c r="A22" s="7">
        <v>45868</v>
      </c>
      <c r="B22" s="8">
        <v>3642</v>
      </c>
      <c r="C22" s="8">
        <v>50393</v>
      </c>
      <c r="D22" s="8">
        <v>22111</v>
      </c>
      <c r="E22" s="8">
        <v>1697</v>
      </c>
      <c r="F22" s="8">
        <v>77843</v>
      </c>
      <c r="G22" s="8" t="s">
        <v>319</v>
      </c>
    </row>
    <row r="23" spans="1:7">
      <c r="A23" s="7">
        <v>45869</v>
      </c>
      <c r="B23" s="8">
        <v>664</v>
      </c>
      <c r="C23" s="8">
        <v>8849</v>
      </c>
      <c r="D23" s="8">
        <v>3578</v>
      </c>
      <c r="E23" s="8">
        <v>625</v>
      </c>
      <c r="F23" s="8">
        <v>13716</v>
      </c>
      <c r="G23" s="8"/>
    </row>
    <row r="24" spans="1:7">
      <c r="A24" s="7">
        <v>45870</v>
      </c>
      <c r="B24" s="8">
        <v>4535</v>
      </c>
      <c r="C24" s="8">
        <v>42522</v>
      </c>
      <c r="D24" s="8">
        <v>15476</v>
      </c>
      <c r="E24" s="8">
        <v>11865</v>
      </c>
      <c r="F24" s="8">
        <v>74398</v>
      </c>
      <c r="G24" s="8" t="s">
        <v>319</v>
      </c>
    </row>
    <row r="25" spans="1:7">
      <c r="A25" s="9">
        <v>45873</v>
      </c>
      <c r="B25" s="10">
        <v>2537</v>
      </c>
      <c r="C25" s="10">
        <v>81409</v>
      </c>
      <c r="D25" s="10">
        <v>21181</v>
      </c>
      <c r="E25" s="10">
        <v>27163</v>
      </c>
      <c r="F25" s="10">
        <v>132290</v>
      </c>
      <c r="G25" s="8" t="s">
        <v>320</v>
      </c>
    </row>
    <row r="26" spans="1:7">
      <c r="A26" s="7">
        <v>45874</v>
      </c>
      <c r="B26" s="8">
        <v>5839</v>
      </c>
      <c r="C26" s="8">
        <v>45973</v>
      </c>
      <c r="D26" s="8">
        <v>9802</v>
      </c>
      <c r="E26" s="8">
        <v>4657</v>
      </c>
      <c r="F26" s="8">
        <v>66271</v>
      </c>
      <c r="G26" s="8"/>
    </row>
    <row r="27" spans="1:7">
      <c r="A27" s="7">
        <v>45875</v>
      </c>
      <c r="B27" s="8">
        <v>382</v>
      </c>
      <c r="C27" s="8">
        <v>63918</v>
      </c>
      <c r="D27" s="8">
        <v>12991</v>
      </c>
      <c r="E27" s="8">
        <v>16885</v>
      </c>
      <c r="F27" s="8">
        <v>94176</v>
      </c>
      <c r="G27" s="8" t="s">
        <v>319</v>
      </c>
    </row>
    <row r="28" spans="1:7">
      <c r="A28" s="7">
        <v>45876</v>
      </c>
      <c r="B28" s="8">
        <v>402</v>
      </c>
      <c r="C28" s="8">
        <v>52093</v>
      </c>
      <c r="D28" s="8">
        <v>21747</v>
      </c>
      <c r="E28" s="8">
        <v>12071</v>
      </c>
      <c r="F28" s="8">
        <v>86313</v>
      </c>
      <c r="G28" s="8" t="s">
        <v>319</v>
      </c>
    </row>
    <row r="29" spans="1:7">
      <c r="A29" s="7">
        <v>45877</v>
      </c>
      <c r="B29" s="8">
        <v>2254</v>
      </c>
      <c r="C29" s="8">
        <v>51450</v>
      </c>
      <c r="D29" s="8">
        <v>8704</v>
      </c>
      <c r="E29" s="8">
        <v>9988</v>
      </c>
      <c r="F29" s="8">
        <v>72396</v>
      </c>
      <c r="G29" s="8" t="s">
        <v>319</v>
      </c>
    </row>
    <row r="30" spans="1:7">
      <c r="A30" s="9">
        <v>45880</v>
      </c>
      <c r="B30" s="10">
        <v>1647</v>
      </c>
      <c r="C30" s="10">
        <v>66841</v>
      </c>
      <c r="D30" s="10">
        <v>16544</v>
      </c>
      <c r="E30" s="10">
        <v>16291</v>
      </c>
      <c r="F30" s="10">
        <v>101323</v>
      </c>
      <c r="G30" s="8" t="s">
        <v>320</v>
      </c>
    </row>
    <row r="31" spans="1:7">
      <c r="A31" s="9">
        <v>45881</v>
      </c>
      <c r="B31" s="10">
        <v>4305</v>
      </c>
      <c r="C31" s="10">
        <v>77344</v>
      </c>
      <c r="D31" s="10">
        <v>21437</v>
      </c>
      <c r="E31" s="10">
        <v>18776</v>
      </c>
      <c r="F31" s="10">
        <v>121862</v>
      </c>
      <c r="G31" s="8" t="s">
        <v>320</v>
      </c>
    </row>
    <row r="32" spans="1:7">
      <c r="A32" s="7">
        <v>45882</v>
      </c>
      <c r="B32" s="8">
        <v>205</v>
      </c>
      <c r="C32" s="8">
        <v>14007</v>
      </c>
      <c r="D32" s="8">
        <v>4613</v>
      </c>
      <c r="E32" s="8">
        <v>1130</v>
      </c>
      <c r="F32" s="8">
        <v>19955</v>
      </c>
      <c r="G32" s="8"/>
    </row>
    <row r="33" spans="1:7">
      <c r="A33" s="7">
        <v>45883</v>
      </c>
      <c r="B33" s="8">
        <v>395</v>
      </c>
      <c r="C33" s="8">
        <v>23232</v>
      </c>
      <c r="D33" s="8">
        <v>7185</v>
      </c>
      <c r="E33" s="8">
        <v>3385</v>
      </c>
      <c r="F33" s="8">
        <v>34197</v>
      </c>
      <c r="G33" s="8"/>
    </row>
    <row r="34" spans="1:7">
      <c r="A34" s="7">
        <v>45884</v>
      </c>
      <c r="B34" s="8">
        <v>232</v>
      </c>
      <c r="C34" s="8">
        <v>21124</v>
      </c>
      <c r="D34" s="8">
        <v>6299</v>
      </c>
      <c r="E34" s="8">
        <v>3080</v>
      </c>
      <c r="F34" s="8">
        <v>30735</v>
      </c>
      <c r="G34" s="8"/>
    </row>
    <row r="35" spans="1:7">
      <c r="A35" s="7">
        <v>45889</v>
      </c>
      <c r="B35" s="8"/>
      <c r="C35" s="8">
        <v>757</v>
      </c>
      <c r="D35" s="8">
        <v>194</v>
      </c>
      <c r="E35" s="8">
        <v>602</v>
      </c>
      <c r="F35" s="8">
        <v>1553</v>
      </c>
      <c r="G35" s="8"/>
    </row>
    <row r="36" spans="1:7">
      <c r="A36" s="7">
        <v>45890</v>
      </c>
      <c r="B36" s="8">
        <v>760</v>
      </c>
      <c r="C36" s="8">
        <v>8080</v>
      </c>
      <c r="D36" s="8">
        <v>1760</v>
      </c>
      <c r="E36" s="8">
        <v>6223</v>
      </c>
      <c r="F36" s="8">
        <v>16823</v>
      </c>
      <c r="G36" s="8"/>
    </row>
    <row r="37" spans="1:7">
      <c r="A37" s="7">
        <v>45891</v>
      </c>
      <c r="B37" s="8">
        <v>1208</v>
      </c>
      <c r="C37" s="8">
        <v>17666</v>
      </c>
      <c r="D37" s="8">
        <v>4221</v>
      </c>
      <c r="E37" s="8">
        <v>2939</v>
      </c>
      <c r="F37" s="8">
        <v>26034</v>
      </c>
      <c r="G37" s="8"/>
    </row>
    <row r="38" spans="1:7">
      <c r="A38" s="7">
        <v>45894</v>
      </c>
      <c r="B38" s="8">
        <v>2936</v>
      </c>
      <c r="C38" s="8">
        <v>60809</v>
      </c>
      <c r="D38" s="8">
        <v>7723</v>
      </c>
      <c r="E38" s="8">
        <v>15351</v>
      </c>
      <c r="F38" s="8">
        <v>86819</v>
      </c>
      <c r="G38" s="8" t="s">
        <v>319</v>
      </c>
    </row>
    <row r="39" spans="1:7">
      <c r="A39" s="7">
        <v>45895</v>
      </c>
      <c r="B39" s="8">
        <v>1879</v>
      </c>
      <c r="C39" s="8">
        <v>30533</v>
      </c>
      <c r="D39" s="8">
        <v>7507</v>
      </c>
      <c r="E39" s="8">
        <v>6640</v>
      </c>
      <c r="F39" s="8">
        <v>46559</v>
      </c>
      <c r="G39" s="8"/>
    </row>
    <row r="40" spans="1:7">
      <c r="A40" s="7">
        <v>45896</v>
      </c>
      <c r="B40" s="8">
        <v>140</v>
      </c>
      <c r="C40" s="8">
        <v>2467</v>
      </c>
      <c r="D40" s="8">
        <v>254</v>
      </c>
      <c r="E40" s="8">
        <v>1049</v>
      </c>
      <c r="F40" s="8">
        <v>3910</v>
      </c>
      <c r="G40" s="8"/>
    </row>
    <row r="41" spans="1:7">
      <c r="A41" s="7">
        <v>45897</v>
      </c>
      <c r="B41" s="8">
        <v>502</v>
      </c>
      <c r="C41" s="8">
        <v>4944</v>
      </c>
      <c r="D41" s="8">
        <v>1891</v>
      </c>
      <c r="E41" s="8">
        <v>8415</v>
      </c>
      <c r="F41" s="8">
        <v>15752</v>
      </c>
      <c r="G41" s="8"/>
    </row>
    <row r="42" spans="1:7">
      <c r="A42" s="7">
        <v>45898</v>
      </c>
      <c r="B42" s="8">
        <v>63</v>
      </c>
      <c r="C42" s="8">
        <v>11533</v>
      </c>
      <c r="D42" s="8">
        <v>3200</v>
      </c>
      <c r="E42" s="8">
        <v>2051</v>
      </c>
      <c r="F42" s="8">
        <v>16847</v>
      </c>
      <c r="G42" s="8"/>
    </row>
    <row r="43" spans="1:7">
      <c r="A43" s="7">
        <v>45901</v>
      </c>
      <c r="B43" s="8">
        <v>327</v>
      </c>
      <c r="C43" s="8">
        <v>57458</v>
      </c>
      <c r="D43" s="8">
        <v>7001</v>
      </c>
      <c r="E43" s="8">
        <v>10653</v>
      </c>
      <c r="F43" s="8">
        <v>75439</v>
      </c>
      <c r="G43" s="8" t="s">
        <v>319</v>
      </c>
    </row>
    <row r="44" spans="1:7">
      <c r="A44" s="7">
        <v>45902</v>
      </c>
      <c r="B44" s="8">
        <v>1053</v>
      </c>
      <c r="C44" s="8">
        <v>35440</v>
      </c>
      <c r="D44" s="8">
        <v>5681</v>
      </c>
      <c r="E44" s="8">
        <v>3796</v>
      </c>
      <c r="F44" s="8">
        <v>45970</v>
      </c>
      <c r="G44" s="8"/>
    </row>
    <row r="45" spans="1:7">
      <c r="A45" s="7">
        <v>45903</v>
      </c>
      <c r="B45" s="8">
        <v>310</v>
      </c>
      <c r="C45" s="8">
        <v>11197</v>
      </c>
      <c r="D45" s="8">
        <v>1141</v>
      </c>
      <c r="E45" s="8">
        <v>1266</v>
      </c>
      <c r="F45" s="8">
        <v>13914</v>
      </c>
      <c r="G45" s="8"/>
    </row>
    <row r="46" spans="1:7">
      <c r="A46" s="7">
        <v>45904</v>
      </c>
      <c r="B46" s="8">
        <v>76</v>
      </c>
      <c r="C46" s="8">
        <v>6726</v>
      </c>
      <c r="D46" s="8">
        <v>1372</v>
      </c>
      <c r="E46" s="8">
        <v>7490</v>
      </c>
      <c r="F46" s="8">
        <v>15664</v>
      </c>
      <c r="G46" s="8"/>
    </row>
    <row r="47" spans="1:7">
      <c r="A47" s="7">
        <v>45905</v>
      </c>
      <c r="B47" s="8">
        <v>673</v>
      </c>
      <c r="C47" s="8">
        <v>9500</v>
      </c>
      <c r="D47" s="8">
        <v>1819</v>
      </c>
      <c r="E47" s="8">
        <v>3197</v>
      </c>
      <c r="F47" s="8">
        <v>15189</v>
      </c>
      <c r="G47" s="8"/>
    </row>
    <row r="48" spans="1:7">
      <c r="A48" s="7">
        <v>45908</v>
      </c>
      <c r="B48" s="8">
        <v>656</v>
      </c>
      <c r="C48" s="8">
        <v>31631</v>
      </c>
      <c r="D48" s="8">
        <v>10776</v>
      </c>
      <c r="E48" s="8">
        <v>5509</v>
      </c>
      <c r="F48" s="8">
        <v>48572</v>
      </c>
      <c r="G48" s="8"/>
    </row>
    <row r="49" spans="1:7">
      <c r="A49" s="7">
        <v>45909</v>
      </c>
      <c r="B49" s="8">
        <v>763</v>
      </c>
      <c r="C49" s="8">
        <v>65448</v>
      </c>
      <c r="D49" s="8">
        <v>9075</v>
      </c>
      <c r="E49" s="8">
        <v>17059</v>
      </c>
      <c r="F49" s="8">
        <v>92345</v>
      </c>
      <c r="G49" s="8" t="s">
        <v>319</v>
      </c>
    </row>
    <row r="50" spans="1:7">
      <c r="A50" s="7">
        <v>45910</v>
      </c>
      <c r="B50" s="8">
        <v>21</v>
      </c>
      <c r="C50" s="8">
        <v>2746</v>
      </c>
      <c r="D50" s="8">
        <v>728</v>
      </c>
      <c r="E50" s="8">
        <v>612</v>
      </c>
      <c r="F50" s="8">
        <v>4107</v>
      </c>
      <c r="G50" s="8"/>
    </row>
    <row r="51" spans="1:7">
      <c r="A51" s="7">
        <v>45911</v>
      </c>
      <c r="B51" s="8">
        <v>12</v>
      </c>
      <c r="C51" s="8">
        <v>3710</v>
      </c>
      <c r="D51" s="8">
        <v>2177</v>
      </c>
      <c r="E51" s="8">
        <v>998</v>
      </c>
      <c r="F51" s="8">
        <v>6897</v>
      </c>
      <c r="G51" s="8"/>
    </row>
    <row r="52" spans="1:7">
      <c r="A52" s="7">
        <v>45912</v>
      </c>
      <c r="B52" s="8"/>
      <c r="C52" s="8">
        <v>17700</v>
      </c>
      <c r="D52" s="8">
        <v>1471</v>
      </c>
      <c r="E52" s="8">
        <v>15110</v>
      </c>
      <c r="F52" s="8">
        <v>34281</v>
      </c>
      <c r="G52" s="8"/>
    </row>
    <row r="53" spans="1:7">
      <c r="A53" s="9">
        <v>45915</v>
      </c>
      <c r="B53" s="10">
        <v>2458</v>
      </c>
      <c r="C53" s="10">
        <v>83717</v>
      </c>
      <c r="D53" s="10">
        <v>9346</v>
      </c>
      <c r="E53" s="10">
        <v>34421</v>
      </c>
      <c r="F53" s="10">
        <v>129942</v>
      </c>
      <c r="G53" s="8" t="s">
        <v>320</v>
      </c>
    </row>
    <row r="54" spans="1:7">
      <c r="A54" s="7">
        <v>45916</v>
      </c>
      <c r="B54" s="8">
        <v>1318</v>
      </c>
      <c r="C54" s="8">
        <v>59947</v>
      </c>
      <c r="D54" s="8">
        <v>4157</v>
      </c>
      <c r="E54" s="8">
        <v>25129</v>
      </c>
      <c r="F54" s="8">
        <v>90551</v>
      </c>
      <c r="G54" s="8" t="s">
        <v>319</v>
      </c>
    </row>
    <row r="55" spans="1:7">
      <c r="A55" s="7">
        <v>45917</v>
      </c>
      <c r="B55" s="8">
        <v>102</v>
      </c>
      <c r="C55" s="8">
        <v>6448</v>
      </c>
      <c r="D55" s="8">
        <v>1045</v>
      </c>
      <c r="E55" s="8">
        <v>4288</v>
      </c>
      <c r="F55" s="8">
        <v>11883</v>
      </c>
      <c r="G55" s="8"/>
    </row>
    <row r="56" spans="1:7">
      <c r="A56" s="7">
        <v>45918</v>
      </c>
      <c r="B56" s="8">
        <v>115</v>
      </c>
      <c r="C56" s="8">
        <v>9958</v>
      </c>
      <c r="D56" s="8">
        <v>4129</v>
      </c>
      <c r="E56" s="8">
        <v>4161</v>
      </c>
      <c r="F56" s="8">
        <v>18363</v>
      </c>
      <c r="G56" s="8"/>
    </row>
    <row r="57" spans="1:7">
      <c r="A57" s="7">
        <v>45919</v>
      </c>
      <c r="B57" s="8">
        <v>462</v>
      </c>
      <c r="C57" s="8">
        <v>40616</v>
      </c>
      <c r="D57" s="8">
        <v>6884</v>
      </c>
      <c r="E57" s="8">
        <v>13753</v>
      </c>
      <c r="F57" s="8">
        <v>61715</v>
      </c>
      <c r="G57" s="8"/>
    </row>
    <row r="58" spans="1:7">
      <c r="A58" s="7">
        <v>45920</v>
      </c>
      <c r="B58" s="8">
        <v>297</v>
      </c>
      <c r="C58" s="8">
        <v>55874</v>
      </c>
      <c r="D58" s="8">
        <v>8362</v>
      </c>
      <c r="E58" s="8">
        <v>25430</v>
      </c>
      <c r="F58" s="8">
        <v>89963</v>
      </c>
      <c r="G58" s="8" t="s">
        <v>319</v>
      </c>
    </row>
    <row r="59" spans="1:7">
      <c r="A59" s="7">
        <v>45922</v>
      </c>
      <c r="B59" s="8">
        <v>1026</v>
      </c>
      <c r="C59" s="8">
        <v>60141</v>
      </c>
      <c r="D59" s="8">
        <v>6329</v>
      </c>
      <c r="E59" s="8">
        <v>31510</v>
      </c>
      <c r="F59" s="8">
        <v>99006</v>
      </c>
      <c r="G59" s="8" t="s">
        <v>319</v>
      </c>
    </row>
    <row r="60" spans="1:7">
      <c r="A60" s="7">
        <v>45923</v>
      </c>
      <c r="B60" s="8">
        <v>85</v>
      </c>
      <c r="C60" s="8">
        <v>42976</v>
      </c>
      <c r="D60" s="8">
        <v>4793</v>
      </c>
      <c r="E60" s="8">
        <v>32444</v>
      </c>
      <c r="F60" s="8">
        <v>80298</v>
      </c>
      <c r="G60" s="8" t="s">
        <v>319</v>
      </c>
    </row>
    <row r="61" spans="1:7">
      <c r="A61" s="7">
        <v>45924</v>
      </c>
      <c r="B61" s="8">
        <v>172</v>
      </c>
      <c r="C61" s="8">
        <v>45909</v>
      </c>
      <c r="D61" s="8">
        <v>3119</v>
      </c>
      <c r="E61" s="8">
        <v>15210</v>
      </c>
      <c r="F61" s="8">
        <v>64410</v>
      </c>
      <c r="G61" s="8"/>
    </row>
    <row r="62" spans="1:7">
      <c r="A62" s="7">
        <v>45925</v>
      </c>
      <c r="B62" s="8"/>
      <c r="C62" s="8">
        <v>3610</v>
      </c>
      <c r="D62" s="8">
        <v>437</v>
      </c>
      <c r="E62" s="8">
        <v>1308</v>
      </c>
      <c r="F62" s="8">
        <v>5355</v>
      </c>
      <c r="G62" s="8"/>
    </row>
    <row r="63" spans="1:7">
      <c r="A63" s="7">
        <v>45926</v>
      </c>
      <c r="B63" s="8">
        <v>6</v>
      </c>
      <c r="C63" s="8">
        <v>12875</v>
      </c>
      <c r="D63" s="8">
        <v>412</v>
      </c>
      <c r="E63" s="8">
        <v>3925</v>
      </c>
      <c r="F63" s="8">
        <v>17218</v>
      </c>
      <c r="G63" s="8"/>
    </row>
    <row r="64" spans="1:7">
      <c r="A64" s="7">
        <v>45929</v>
      </c>
      <c r="B64" s="8">
        <v>35</v>
      </c>
      <c r="C64" s="8">
        <v>37041</v>
      </c>
      <c r="D64" s="8">
        <v>1616</v>
      </c>
      <c r="E64" s="8">
        <v>13643</v>
      </c>
      <c r="F64" s="8">
        <v>52335</v>
      </c>
      <c r="G64" s="8"/>
    </row>
    <row r="65" spans="1:7">
      <c r="A65" s="7">
        <v>45930</v>
      </c>
      <c r="B65" s="8"/>
      <c r="C65" s="8">
        <v>15763</v>
      </c>
      <c r="D65" s="8">
        <v>3213</v>
      </c>
      <c r="E65" s="8">
        <v>8451</v>
      </c>
      <c r="F65" s="8">
        <v>27427</v>
      </c>
      <c r="G65" s="8"/>
    </row>
    <row r="66" spans="1:7">
      <c r="A66" s="7">
        <v>45935</v>
      </c>
      <c r="B66" s="8"/>
      <c r="C66" s="8">
        <v>4024</v>
      </c>
      <c r="D66" s="8">
        <v>639</v>
      </c>
      <c r="E66" s="8">
        <v>799</v>
      </c>
      <c r="F66" s="8">
        <v>5462</v>
      </c>
      <c r="G66" s="8"/>
    </row>
    <row r="67" spans="1:7">
      <c r="A67" s="7">
        <v>45937</v>
      </c>
      <c r="B67" s="8"/>
      <c r="C67" s="8">
        <v>1341</v>
      </c>
      <c r="D67" s="8">
        <v>331</v>
      </c>
      <c r="E67" s="8"/>
      <c r="F67" s="8">
        <v>1672</v>
      </c>
      <c r="G67" s="8"/>
    </row>
    <row r="68" spans="1:7">
      <c r="A68" s="7">
        <v>45938</v>
      </c>
      <c r="B68" s="8">
        <v>4</v>
      </c>
      <c r="C68" s="8">
        <v>7229</v>
      </c>
      <c r="D68" s="8">
        <v>1048</v>
      </c>
      <c r="E68" s="8">
        <v>1610</v>
      </c>
      <c r="F68" s="8">
        <v>9891</v>
      </c>
      <c r="G68" s="8"/>
    </row>
    <row r="69" spans="1:7">
      <c r="A69" s="7">
        <v>45939</v>
      </c>
      <c r="B69" s="8"/>
      <c r="C69" s="8">
        <v>501</v>
      </c>
      <c r="D69" s="8">
        <v>21</v>
      </c>
      <c r="E69" s="8">
        <v>89</v>
      </c>
      <c r="F69" s="8">
        <v>611</v>
      </c>
      <c r="G69" s="8"/>
    </row>
    <row r="70" spans="1:7">
      <c r="A70" s="7">
        <v>45940</v>
      </c>
      <c r="B70" s="8"/>
      <c r="C70" s="8">
        <v>9</v>
      </c>
      <c r="D70" s="8"/>
      <c r="E70" s="8"/>
      <c r="F70" s="8">
        <v>9</v>
      </c>
      <c r="G70" s="8"/>
    </row>
    <row r="71" spans="1:7">
      <c r="A71" s="7">
        <v>45943</v>
      </c>
      <c r="B71" s="8"/>
      <c r="C71" s="8">
        <v>3703</v>
      </c>
      <c r="D71" s="8">
        <v>644</v>
      </c>
      <c r="E71" s="8">
        <v>1019</v>
      </c>
      <c r="F71" s="8">
        <v>5366</v>
      </c>
      <c r="G71" s="8"/>
    </row>
    <row r="72" spans="1:7">
      <c r="A72" s="7">
        <v>45944</v>
      </c>
      <c r="B72" s="8"/>
      <c r="C72" s="8">
        <v>17718</v>
      </c>
      <c r="D72" s="8">
        <v>1840</v>
      </c>
      <c r="E72" s="8">
        <v>6113</v>
      </c>
      <c r="F72" s="8">
        <v>25671</v>
      </c>
      <c r="G72" s="8"/>
    </row>
    <row r="73" spans="1:7">
      <c r="A73" s="7">
        <v>45945</v>
      </c>
      <c r="B73" s="8"/>
      <c r="C73" s="8">
        <v>3401</v>
      </c>
      <c r="D73" s="8">
        <v>378</v>
      </c>
      <c r="E73" s="8">
        <v>777</v>
      </c>
      <c r="F73" s="8">
        <v>4556</v>
      </c>
      <c r="G73" s="8"/>
    </row>
    <row r="74" spans="1:7">
      <c r="A74" s="7">
        <v>45946</v>
      </c>
      <c r="B74" s="8">
        <v>87</v>
      </c>
      <c r="C74" s="8">
        <v>4330</v>
      </c>
      <c r="D74" s="8">
        <v>254</v>
      </c>
      <c r="E74" s="8">
        <v>1623</v>
      </c>
      <c r="F74" s="8">
        <v>6294</v>
      </c>
      <c r="G74" s="8"/>
    </row>
    <row r="75" spans="1:7">
      <c r="A75" s="7">
        <v>45947</v>
      </c>
      <c r="B75" s="8">
        <v>246</v>
      </c>
      <c r="C75" s="8">
        <v>43368</v>
      </c>
      <c r="D75" s="8">
        <v>3575</v>
      </c>
      <c r="E75" s="8">
        <v>17729</v>
      </c>
      <c r="F75" s="8">
        <v>64918</v>
      </c>
      <c r="G75" s="8"/>
    </row>
    <row r="76" spans="1:7">
      <c r="A76" s="7">
        <v>45950</v>
      </c>
      <c r="B76" s="8">
        <v>21</v>
      </c>
      <c r="C76" s="8">
        <v>38903</v>
      </c>
      <c r="D76" s="8">
        <v>7825</v>
      </c>
      <c r="E76" s="8">
        <v>41520</v>
      </c>
      <c r="F76" s="8">
        <v>88269</v>
      </c>
      <c r="G76" s="8" t="s">
        <v>319</v>
      </c>
    </row>
    <row r="77" spans="1:7">
      <c r="A77" s="7">
        <v>45951</v>
      </c>
      <c r="B77" s="8">
        <v>340</v>
      </c>
      <c r="C77" s="8">
        <v>55074</v>
      </c>
      <c r="D77" s="8">
        <v>3583</v>
      </c>
      <c r="E77" s="8">
        <v>22384</v>
      </c>
      <c r="F77" s="8">
        <v>81381</v>
      </c>
      <c r="G77" s="8" t="s">
        <v>319</v>
      </c>
    </row>
    <row r="78" spans="1:7">
      <c r="A78" s="7">
        <v>45952</v>
      </c>
      <c r="B78" s="8">
        <v>251</v>
      </c>
      <c r="C78" s="8">
        <v>55475</v>
      </c>
      <c r="D78" s="8">
        <v>4645</v>
      </c>
      <c r="E78" s="8">
        <v>23997</v>
      </c>
      <c r="F78" s="8">
        <v>84368</v>
      </c>
      <c r="G78" s="8" t="s">
        <v>319</v>
      </c>
    </row>
    <row r="79" spans="1:7">
      <c r="A79" s="7">
        <v>45953</v>
      </c>
      <c r="B79" s="8">
        <v>70</v>
      </c>
      <c r="C79" s="8">
        <v>8831</v>
      </c>
      <c r="D79" s="8">
        <v>553</v>
      </c>
      <c r="E79" s="8">
        <v>2791</v>
      </c>
      <c r="F79" s="8">
        <v>12245</v>
      </c>
      <c r="G79" s="8"/>
    </row>
    <row r="80" spans="1:7">
      <c r="A80" s="7">
        <v>45954</v>
      </c>
      <c r="B80" s="8">
        <v>941</v>
      </c>
      <c r="C80" s="8">
        <v>34856</v>
      </c>
      <c r="D80" s="8">
        <v>3336</v>
      </c>
      <c r="E80" s="8">
        <v>15819</v>
      </c>
      <c r="F80" s="8">
        <v>54952</v>
      </c>
      <c r="G80" s="8"/>
    </row>
    <row r="81" spans="1:7">
      <c r="A81" s="7">
        <v>45955</v>
      </c>
      <c r="B81" s="8"/>
      <c r="C81" s="8">
        <v>24861</v>
      </c>
      <c r="D81" s="8">
        <v>11315</v>
      </c>
      <c r="E81" s="8">
        <v>34192</v>
      </c>
      <c r="F81" s="8">
        <v>70368</v>
      </c>
      <c r="G81" s="8" t="s">
        <v>319</v>
      </c>
    </row>
    <row r="82" spans="1:7">
      <c r="A82" s="9">
        <v>45957</v>
      </c>
      <c r="B82" s="10"/>
      <c r="C82" s="10">
        <v>64717</v>
      </c>
      <c r="D82" s="10">
        <v>26319</v>
      </c>
      <c r="E82" s="10">
        <v>38980</v>
      </c>
      <c r="F82" s="10">
        <v>130016</v>
      </c>
      <c r="G82" s="8" t="s">
        <v>320</v>
      </c>
    </row>
    <row r="83" spans="1:7">
      <c r="A83" s="9">
        <v>45958</v>
      </c>
      <c r="B83" s="10">
        <v>584</v>
      </c>
      <c r="C83" s="10">
        <v>69138</v>
      </c>
      <c r="D83" s="10">
        <v>18005</v>
      </c>
      <c r="E83" s="10">
        <v>22296</v>
      </c>
      <c r="F83" s="10">
        <v>110023</v>
      </c>
      <c r="G83" s="8" t="s">
        <v>320</v>
      </c>
    </row>
    <row r="84" spans="1:7">
      <c r="A84" s="7">
        <v>45959</v>
      </c>
      <c r="B84" s="8">
        <v>320</v>
      </c>
      <c r="C84" s="8">
        <v>39173</v>
      </c>
      <c r="D84" s="8">
        <v>6993</v>
      </c>
      <c r="E84" s="8">
        <v>12460</v>
      </c>
      <c r="F84" s="8">
        <v>58946</v>
      </c>
      <c r="G84" s="8"/>
    </row>
    <row r="85" spans="1:7">
      <c r="A85" s="7">
        <v>45960</v>
      </c>
      <c r="B85" s="8">
        <v>178</v>
      </c>
      <c r="C85" s="8">
        <v>32057</v>
      </c>
      <c r="D85" s="8">
        <v>7970</v>
      </c>
      <c r="E85" s="8">
        <v>17758</v>
      </c>
      <c r="F85" s="8">
        <v>57963</v>
      </c>
      <c r="G85" s="8"/>
    </row>
    <row r="86" spans="1:7">
      <c r="A86" s="7">
        <v>45961</v>
      </c>
      <c r="B86" s="8">
        <v>13</v>
      </c>
      <c r="C86" s="8">
        <v>13038</v>
      </c>
      <c r="D86" s="8">
        <v>2998</v>
      </c>
      <c r="E86" s="8">
        <v>5140</v>
      </c>
      <c r="F86" s="8">
        <v>21189</v>
      </c>
      <c r="G86" s="8"/>
    </row>
    <row r="87" spans="1:7">
      <c r="A87" s="7">
        <v>45964</v>
      </c>
      <c r="B87" s="8"/>
      <c r="C87" s="8">
        <v>29434</v>
      </c>
      <c r="D87" s="8">
        <v>20263</v>
      </c>
      <c r="E87" s="8">
        <v>21310</v>
      </c>
      <c r="F87" s="8">
        <v>71007</v>
      </c>
      <c r="G87" s="8" t="s">
        <v>319</v>
      </c>
    </row>
    <row r="88" spans="1:7">
      <c r="A88" s="9">
        <v>45965</v>
      </c>
      <c r="B88" s="10">
        <v>191</v>
      </c>
      <c r="C88" s="10">
        <v>64940</v>
      </c>
      <c r="D88" s="10">
        <v>18406</v>
      </c>
      <c r="E88" s="10">
        <v>16811</v>
      </c>
      <c r="F88" s="10">
        <v>100348</v>
      </c>
      <c r="G88" s="8" t="s">
        <v>320</v>
      </c>
    </row>
    <row r="89" spans="1:7">
      <c r="A89" s="7">
        <v>45966</v>
      </c>
      <c r="B89" s="8">
        <v>1800</v>
      </c>
      <c r="C89" s="8">
        <v>50845</v>
      </c>
      <c r="D89" s="8">
        <v>2830</v>
      </c>
      <c r="E89" s="8">
        <v>21061</v>
      </c>
      <c r="F89" s="8">
        <v>76536</v>
      </c>
      <c r="G89" s="8" t="s">
        <v>319</v>
      </c>
    </row>
    <row r="90" spans="1:7">
      <c r="A90" s="7">
        <v>45967</v>
      </c>
      <c r="B90" s="8">
        <v>37</v>
      </c>
      <c r="C90" s="8">
        <v>5486</v>
      </c>
      <c r="D90" s="8">
        <v>370</v>
      </c>
      <c r="E90" s="8">
        <v>1365</v>
      </c>
      <c r="F90" s="8">
        <v>7258</v>
      </c>
      <c r="G90" s="8"/>
    </row>
    <row r="91" spans="1:7">
      <c r="A91" s="7">
        <v>45968</v>
      </c>
      <c r="B91" s="8">
        <v>1533</v>
      </c>
      <c r="C91" s="8">
        <v>47120</v>
      </c>
      <c r="D91" s="8">
        <v>1365</v>
      </c>
      <c r="E91" s="8">
        <v>10955</v>
      </c>
      <c r="F91" s="8">
        <v>60973</v>
      </c>
      <c r="G91" s="8"/>
    </row>
    <row r="92" spans="1:7">
      <c r="A92" s="7">
        <v>45971</v>
      </c>
      <c r="B92" s="8">
        <v>470</v>
      </c>
      <c r="C92" s="8">
        <v>28824</v>
      </c>
      <c r="D92" s="8">
        <v>10226</v>
      </c>
      <c r="E92" s="8">
        <v>22964</v>
      </c>
      <c r="F92" s="8">
        <v>62484</v>
      </c>
      <c r="G92" s="8"/>
    </row>
    <row r="93" spans="1:7">
      <c r="A93" s="7">
        <v>45972</v>
      </c>
      <c r="B93" s="8">
        <v>1357</v>
      </c>
      <c r="C93" s="8">
        <v>48551</v>
      </c>
      <c r="D93" s="8">
        <v>8758</v>
      </c>
      <c r="E93" s="8">
        <v>14617</v>
      </c>
      <c r="F93" s="8">
        <v>73283</v>
      </c>
      <c r="G93" s="8" t="s">
        <v>319</v>
      </c>
    </row>
    <row r="94" spans="1:7">
      <c r="A94" s="7">
        <v>45973</v>
      </c>
      <c r="B94" s="8">
        <v>293</v>
      </c>
      <c r="C94" s="8">
        <v>23963</v>
      </c>
      <c r="D94" s="8">
        <v>4308</v>
      </c>
      <c r="E94" s="8">
        <v>4504</v>
      </c>
      <c r="F94" s="8">
        <v>33068</v>
      </c>
      <c r="G94" s="8"/>
    </row>
    <row r="95" spans="1:7">
      <c r="A95" s="7">
        <v>45974</v>
      </c>
      <c r="B95" s="8">
        <v>37</v>
      </c>
      <c r="C95" s="8">
        <v>4814</v>
      </c>
      <c r="D95" s="8">
        <v>351</v>
      </c>
      <c r="E95" s="8">
        <v>1442</v>
      </c>
      <c r="F95" s="8">
        <v>6644</v>
      </c>
      <c r="G95" s="8"/>
    </row>
    <row r="96" spans="1:7">
      <c r="A96" s="7">
        <v>45975</v>
      </c>
      <c r="B96" s="8">
        <v>334</v>
      </c>
      <c r="C96" s="8">
        <v>33956</v>
      </c>
      <c r="D96" s="8">
        <v>6910</v>
      </c>
      <c r="E96" s="8">
        <v>17985</v>
      </c>
      <c r="F96" s="8">
        <v>59185</v>
      </c>
      <c r="G96" s="8"/>
    </row>
    <row r="97" spans="1:7">
      <c r="A97" s="7">
        <v>45978</v>
      </c>
      <c r="B97" s="8">
        <v>54</v>
      </c>
      <c r="C97" s="8">
        <v>35346</v>
      </c>
      <c r="D97" s="8">
        <v>5687</v>
      </c>
      <c r="E97" s="8">
        <v>20278</v>
      </c>
      <c r="F97" s="8">
        <v>61365</v>
      </c>
      <c r="G97" s="8"/>
    </row>
    <row r="98" spans="1:7">
      <c r="A98" s="9">
        <v>45979</v>
      </c>
      <c r="B98" s="10">
        <v>2054</v>
      </c>
      <c r="C98" s="10">
        <v>70430</v>
      </c>
      <c r="D98" s="10">
        <v>10070</v>
      </c>
      <c r="E98" s="10">
        <v>20227</v>
      </c>
      <c r="F98" s="10">
        <v>102781</v>
      </c>
      <c r="G98" s="8" t="s">
        <v>320</v>
      </c>
    </row>
    <row r="99" spans="1:7">
      <c r="A99" s="7">
        <v>45980</v>
      </c>
      <c r="B99" s="8">
        <v>29</v>
      </c>
      <c r="C99" s="8">
        <v>4155</v>
      </c>
      <c r="D99" s="8">
        <v>945</v>
      </c>
      <c r="E99" s="8">
        <v>3054</v>
      </c>
      <c r="F99" s="8">
        <v>8183</v>
      </c>
      <c r="G99" s="8"/>
    </row>
    <row r="100" spans="1:7">
      <c r="A100" s="7">
        <v>45981</v>
      </c>
      <c r="B100" s="8">
        <v>117</v>
      </c>
      <c r="C100" s="8">
        <v>2614</v>
      </c>
      <c r="D100" s="8">
        <v>393</v>
      </c>
      <c r="E100" s="8">
        <v>1620</v>
      </c>
      <c r="F100" s="8">
        <v>4744</v>
      </c>
      <c r="G100" s="8"/>
    </row>
    <row r="101" spans="1:7">
      <c r="A101" s="7">
        <v>45982</v>
      </c>
      <c r="B101" s="8"/>
      <c r="C101" s="8">
        <v>5592</v>
      </c>
      <c r="D101" s="8">
        <v>518</v>
      </c>
      <c r="E101" s="8">
        <v>4043</v>
      </c>
      <c r="F101" s="8">
        <v>10153</v>
      </c>
      <c r="G101" s="8"/>
    </row>
    <row r="102" spans="1:7">
      <c r="A102" s="7">
        <v>45985</v>
      </c>
      <c r="B102" s="8"/>
      <c r="C102" s="8">
        <v>44454</v>
      </c>
      <c r="D102" s="8">
        <v>3483</v>
      </c>
      <c r="E102" s="8">
        <v>10999</v>
      </c>
      <c r="F102" s="8">
        <v>58936</v>
      </c>
      <c r="G102" s="8"/>
    </row>
    <row r="103" spans="1:7">
      <c r="A103" s="7">
        <v>45986</v>
      </c>
      <c r="B103" s="8"/>
      <c r="C103" s="8">
        <v>16967</v>
      </c>
      <c r="D103" s="8">
        <v>2632</v>
      </c>
      <c r="E103" s="8">
        <v>3324</v>
      </c>
      <c r="F103" s="8">
        <v>22923</v>
      </c>
      <c r="G103" s="8"/>
    </row>
    <row r="104" spans="1:7">
      <c r="A104" s="7">
        <v>45987</v>
      </c>
      <c r="B104" s="8"/>
      <c r="C104" s="8">
        <v>202</v>
      </c>
      <c r="D104" s="8">
        <v>2</v>
      </c>
      <c r="E104" s="8">
        <v>1489</v>
      </c>
      <c r="F104" s="8">
        <v>1693</v>
      </c>
      <c r="G104" s="8"/>
    </row>
    <row r="105" spans="1:7">
      <c r="A105" s="7">
        <v>45988</v>
      </c>
      <c r="B105" s="8"/>
      <c r="C105" s="8">
        <v>478</v>
      </c>
      <c r="D105" s="8">
        <v>143</v>
      </c>
      <c r="E105" s="8">
        <v>358</v>
      </c>
      <c r="F105" s="8">
        <v>979</v>
      </c>
      <c r="G105" s="8"/>
    </row>
    <row r="106" spans="1:7">
      <c r="A106" s="7">
        <v>45989</v>
      </c>
      <c r="B106" s="8"/>
      <c r="C106" s="8">
        <v>3998</v>
      </c>
      <c r="D106" s="8">
        <v>1172</v>
      </c>
      <c r="E106" s="8">
        <v>4068</v>
      </c>
      <c r="F106" s="8">
        <v>9238</v>
      </c>
      <c r="G106" s="8"/>
    </row>
    <row r="107" spans="1:7">
      <c r="A107" s="7">
        <v>45992</v>
      </c>
      <c r="B107" s="8"/>
      <c r="C107" s="8">
        <v>3226</v>
      </c>
      <c r="D107" s="8">
        <v>549</v>
      </c>
      <c r="E107" s="8">
        <v>2425</v>
      </c>
      <c r="F107" s="8">
        <v>6200</v>
      </c>
      <c r="G107" s="8"/>
    </row>
    <row r="108" spans="1:7">
      <c r="A108" s="7">
        <v>45993</v>
      </c>
      <c r="B108" s="8"/>
      <c r="C108" s="8">
        <v>9058</v>
      </c>
      <c r="D108" s="8">
        <v>3370</v>
      </c>
      <c r="E108" s="8">
        <v>1581</v>
      </c>
      <c r="F108" s="8">
        <v>14009</v>
      </c>
      <c r="G108" s="8"/>
    </row>
    <row r="109" spans="1:7">
      <c r="A109" s="7">
        <v>45994</v>
      </c>
      <c r="B109" s="8"/>
      <c r="C109" s="8">
        <v>614</v>
      </c>
      <c r="D109" s="8">
        <v>119</v>
      </c>
      <c r="E109" s="8">
        <v>804</v>
      </c>
      <c r="F109" s="8">
        <v>1537</v>
      </c>
      <c r="G109" s="8"/>
    </row>
    <row r="110" spans="1:7">
      <c r="A110" s="7">
        <v>45995</v>
      </c>
      <c r="B110" s="8"/>
      <c r="C110" s="8">
        <v>1015</v>
      </c>
      <c r="D110" s="8">
        <v>276</v>
      </c>
      <c r="E110" s="8">
        <v>1657</v>
      </c>
      <c r="F110" s="8">
        <v>2948</v>
      </c>
      <c r="G110" s="8"/>
    </row>
    <row r="111" spans="1:7">
      <c r="A111" s="7">
        <v>45996</v>
      </c>
      <c r="B111" s="8"/>
      <c r="C111" s="8">
        <v>2516</v>
      </c>
      <c r="D111" s="8">
        <v>449</v>
      </c>
      <c r="E111" s="8">
        <v>5877</v>
      </c>
      <c r="F111" s="8">
        <v>8842</v>
      </c>
      <c r="G111" s="8"/>
    </row>
    <row r="112" spans="1:7">
      <c r="A112" s="7">
        <v>45999</v>
      </c>
      <c r="B112" s="8"/>
      <c r="C112" s="8">
        <v>12047</v>
      </c>
      <c r="D112" s="8">
        <v>2074</v>
      </c>
      <c r="E112" s="8">
        <v>4328</v>
      </c>
      <c r="F112" s="8">
        <v>18449</v>
      </c>
      <c r="G112" s="8"/>
    </row>
    <row r="113" spans="1:7">
      <c r="A113" s="7">
        <v>46000</v>
      </c>
      <c r="B113" s="8"/>
      <c r="C113" s="8">
        <v>13558</v>
      </c>
      <c r="D113" s="8">
        <v>1794</v>
      </c>
      <c r="E113" s="8">
        <v>1757</v>
      </c>
      <c r="F113" s="8">
        <v>17109</v>
      </c>
      <c r="G113" s="8"/>
    </row>
    <row r="114" spans="1:7">
      <c r="A114" s="7">
        <v>46001</v>
      </c>
      <c r="B114" s="8"/>
      <c r="C114" s="8">
        <v>441</v>
      </c>
      <c r="D114" s="8">
        <v>347</v>
      </c>
      <c r="E114" s="8">
        <v>4290</v>
      </c>
      <c r="F114" s="8">
        <v>5078</v>
      </c>
      <c r="G114" s="8"/>
    </row>
    <row r="115" spans="1:7">
      <c r="A115" s="7">
        <v>46002</v>
      </c>
      <c r="B115" s="8"/>
      <c r="C115" s="8">
        <v>324</v>
      </c>
      <c r="D115" s="8"/>
      <c r="E115" s="8">
        <v>286</v>
      </c>
      <c r="F115" s="8">
        <v>610</v>
      </c>
      <c r="G115" s="8"/>
    </row>
    <row r="116" spans="1:7">
      <c r="A116" s="7">
        <v>46003</v>
      </c>
      <c r="B116" s="8"/>
      <c r="C116" s="8">
        <v>5126</v>
      </c>
      <c r="D116" s="8">
        <v>176</v>
      </c>
      <c r="E116" s="8">
        <v>2757</v>
      </c>
      <c r="F116" s="8">
        <v>8059</v>
      </c>
      <c r="G116" s="8"/>
    </row>
    <row r="117" spans="1:7">
      <c r="A117" s="7">
        <v>46006</v>
      </c>
      <c r="B117" s="8"/>
      <c r="C117" s="8">
        <v>61390</v>
      </c>
      <c r="D117" s="8">
        <v>4854</v>
      </c>
      <c r="E117" s="8">
        <v>23549</v>
      </c>
      <c r="F117" s="8">
        <v>89793</v>
      </c>
      <c r="G117" s="8" t="s">
        <v>319</v>
      </c>
    </row>
    <row r="118" spans="1:7">
      <c r="A118" s="7">
        <v>46007</v>
      </c>
      <c r="B118" s="8"/>
      <c r="C118" s="8">
        <v>16283</v>
      </c>
      <c r="D118" s="8">
        <v>2460</v>
      </c>
      <c r="E118" s="8">
        <v>3012</v>
      </c>
      <c r="F118" s="8">
        <v>21755</v>
      </c>
      <c r="G118" s="8"/>
    </row>
    <row r="119" spans="1:7">
      <c r="A119" s="7">
        <v>46008</v>
      </c>
      <c r="B119" s="8"/>
      <c r="C119" s="8">
        <v>535</v>
      </c>
      <c r="D119" s="8">
        <v>58</v>
      </c>
      <c r="E119" s="8">
        <v>90</v>
      </c>
      <c r="F119" s="8">
        <v>683</v>
      </c>
      <c r="G119" s="8"/>
    </row>
    <row r="120" spans="1:7">
      <c r="A120" s="7">
        <v>46009</v>
      </c>
      <c r="B120" s="8"/>
      <c r="C120" s="8">
        <v>1856</v>
      </c>
      <c r="D120" s="8">
        <v>154</v>
      </c>
      <c r="E120" s="8">
        <v>156</v>
      </c>
      <c r="F120" s="8">
        <v>2166</v>
      </c>
      <c r="G120" s="8"/>
    </row>
    <row r="121" spans="1:7">
      <c r="A121" s="7">
        <v>46010</v>
      </c>
      <c r="B121" s="8"/>
      <c r="C121" s="8">
        <v>13999</v>
      </c>
      <c r="D121" s="8">
        <v>357</v>
      </c>
      <c r="E121" s="8">
        <v>1741</v>
      </c>
      <c r="F121" s="8">
        <v>16097</v>
      </c>
      <c r="G121" s="8"/>
    </row>
    <row r="122" spans="1:7">
      <c r="A122" s="7">
        <v>46011</v>
      </c>
      <c r="B122" s="8"/>
      <c r="C122" s="8">
        <v>30857</v>
      </c>
      <c r="D122" s="8">
        <v>1969</v>
      </c>
      <c r="E122" s="8">
        <v>26988</v>
      </c>
      <c r="F122" s="8">
        <v>59814</v>
      </c>
      <c r="G122" s="8"/>
    </row>
    <row r="123" spans="1:7">
      <c r="A123" s="7">
        <v>46013</v>
      </c>
      <c r="B123" s="8"/>
      <c r="C123" s="8">
        <v>61365</v>
      </c>
      <c r="D123" s="8">
        <v>6930</v>
      </c>
      <c r="E123" s="8">
        <v>31388</v>
      </c>
      <c r="F123" s="8">
        <v>99683</v>
      </c>
      <c r="G123" s="8" t="s">
        <v>319</v>
      </c>
    </row>
    <row r="124" spans="1:7">
      <c r="A124" s="7">
        <v>46014</v>
      </c>
      <c r="B124" s="8"/>
      <c r="C124" s="8">
        <v>40386</v>
      </c>
      <c r="D124" s="8">
        <v>1061</v>
      </c>
      <c r="E124" s="8">
        <v>7405</v>
      </c>
      <c r="F124" s="8">
        <v>48852</v>
      </c>
      <c r="G124" s="8"/>
    </row>
    <row r="125" spans="1:7">
      <c r="A125" s="7">
        <v>46015</v>
      </c>
      <c r="B125" s="8"/>
      <c r="C125" s="8">
        <v>5953</v>
      </c>
      <c r="D125" s="8">
        <v>220</v>
      </c>
      <c r="E125" s="8">
        <v>212</v>
      </c>
      <c r="F125" s="8">
        <v>6385</v>
      </c>
      <c r="G125" s="8"/>
    </row>
    <row r="126" spans="1:7">
      <c r="A126" s="7">
        <v>46016</v>
      </c>
      <c r="B126" s="8"/>
      <c r="C126" s="8">
        <v>33730</v>
      </c>
      <c r="D126" s="8">
        <v>3496</v>
      </c>
      <c r="E126" s="8">
        <v>18276</v>
      </c>
      <c r="F126" s="8">
        <v>55502</v>
      </c>
      <c r="G126" s="8"/>
    </row>
    <row r="127" spans="1:7">
      <c r="A127" s="7">
        <v>46017</v>
      </c>
      <c r="B127" s="8"/>
      <c r="C127" s="8">
        <v>35221</v>
      </c>
      <c r="D127" s="8">
        <v>4481</v>
      </c>
      <c r="E127" s="8">
        <v>7544</v>
      </c>
      <c r="F127" s="8">
        <v>47246</v>
      </c>
      <c r="G127" s="8"/>
    </row>
    <row r="128" spans="1:7">
      <c r="A128" s="7">
        <v>46018</v>
      </c>
      <c r="B128" s="8"/>
      <c r="C128" s="8">
        <v>12248</v>
      </c>
      <c r="D128" s="8">
        <v>45</v>
      </c>
      <c r="E128" s="8">
        <v>372</v>
      </c>
      <c r="F128" s="8">
        <v>12665</v>
      </c>
      <c r="G128" s="8"/>
    </row>
    <row r="129" spans="1:7">
      <c r="A129" s="7">
        <v>46027</v>
      </c>
      <c r="B129" s="8"/>
      <c r="C129" s="8">
        <v>9893</v>
      </c>
      <c r="D129" s="8">
        <v>236</v>
      </c>
      <c r="E129" s="8">
        <v>1509</v>
      </c>
      <c r="F129" s="8">
        <v>11638</v>
      </c>
      <c r="G129" s="8"/>
    </row>
    <row r="130" spans="1:7">
      <c r="A130" s="7">
        <v>46029</v>
      </c>
      <c r="B130" s="8"/>
      <c r="C130" s="8"/>
      <c r="D130" s="8">
        <v>1</v>
      </c>
      <c r="E130" s="8"/>
      <c r="F130" s="8">
        <v>1</v>
      </c>
      <c r="G130" s="8"/>
    </row>
    <row r="131" spans="1:7">
      <c r="A131" s="7">
        <v>46030</v>
      </c>
      <c r="B131" s="8"/>
      <c r="C131" s="8">
        <v>9696</v>
      </c>
      <c r="D131" s="8">
        <v>406</v>
      </c>
      <c r="E131" s="8">
        <v>3944</v>
      </c>
      <c r="F131" s="8">
        <v>14046</v>
      </c>
      <c r="G131" s="8"/>
    </row>
    <row r="132" spans="1:7">
      <c r="A132" s="7">
        <v>46031</v>
      </c>
      <c r="B132" s="8"/>
      <c r="C132" s="8">
        <v>11201</v>
      </c>
      <c r="D132" s="8">
        <v>73</v>
      </c>
      <c r="E132" s="8">
        <v>1992</v>
      </c>
      <c r="F132" s="8">
        <v>13266</v>
      </c>
      <c r="G132" s="8"/>
    </row>
    <row r="133" spans="1:7">
      <c r="A133" s="7">
        <v>46034</v>
      </c>
      <c r="B133" s="8"/>
      <c r="C133" s="8">
        <v>8387</v>
      </c>
      <c r="D133" s="8">
        <v>468</v>
      </c>
      <c r="E133" s="8">
        <v>5747</v>
      </c>
      <c r="F133" s="8">
        <v>14602</v>
      </c>
      <c r="G133" s="8"/>
    </row>
    <row r="134" spans="1:7">
      <c r="A134" s="7">
        <v>46035</v>
      </c>
      <c r="B134" s="8"/>
      <c r="C134" s="8">
        <v>7976</v>
      </c>
      <c r="D134" s="8">
        <v>304</v>
      </c>
      <c r="E134" s="8">
        <v>138</v>
      </c>
      <c r="F134" s="8">
        <v>8418</v>
      </c>
      <c r="G134" s="8"/>
    </row>
    <row r="135" spans="1:7">
      <c r="A135" s="7">
        <v>46036</v>
      </c>
      <c r="B135" s="8"/>
      <c r="C135" s="8">
        <v>695</v>
      </c>
      <c r="D135" s="8"/>
      <c r="E135" s="8">
        <v>13</v>
      </c>
      <c r="F135" s="8">
        <v>708</v>
      </c>
      <c r="G135" s="8"/>
    </row>
    <row r="136" spans="1:7">
      <c r="A136" s="7">
        <v>46037</v>
      </c>
      <c r="B136" s="8"/>
      <c r="C136" s="8">
        <v>2199</v>
      </c>
      <c r="D136" s="8">
        <v>124</v>
      </c>
      <c r="E136" s="8">
        <v>3115</v>
      </c>
      <c r="F136" s="8">
        <v>5438</v>
      </c>
      <c r="G136" s="8"/>
    </row>
    <row r="137" spans="1:7">
      <c r="A137" s="7">
        <v>46038</v>
      </c>
      <c r="B137" s="8"/>
      <c r="C137" s="8">
        <v>54087</v>
      </c>
      <c r="D137" s="8">
        <v>5438</v>
      </c>
      <c r="E137" s="8">
        <v>12841</v>
      </c>
      <c r="F137" s="8">
        <v>72366</v>
      </c>
      <c r="G137" s="8" t="s">
        <v>319</v>
      </c>
    </row>
    <row r="138" spans="1:7">
      <c r="A138" s="9">
        <v>46041</v>
      </c>
      <c r="B138" s="10"/>
      <c r="C138" s="10">
        <v>61132</v>
      </c>
      <c r="D138" s="10">
        <v>4345</v>
      </c>
      <c r="E138" s="10">
        <v>43449</v>
      </c>
      <c r="F138" s="10">
        <v>108926</v>
      </c>
      <c r="G138" s="8" t="s">
        <v>320</v>
      </c>
    </row>
    <row r="139" spans="1:7">
      <c r="A139" s="7">
        <v>46042</v>
      </c>
      <c r="B139" s="8"/>
      <c r="C139" s="8">
        <v>23098</v>
      </c>
      <c r="D139" s="8">
        <v>890</v>
      </c>
      <c r="E139" s="8">
        <v>4652</v>
      </c>
      <c r="F139" s="8">
        <v>28640</v>
      </c>
      <c r="G139" s="8"/>
    </row>
    <row r="140" spans="1:7">
      <c r="A140" s="7">
        <v>46043</v>
      </c>
      <c r="B140" s="8"/>
      <c r="C140" s="8">
        <v>2758</v>
      </c>
      <c r="D140" s="8">
        <v>67</v>
      </c>
      <c r="E140" s="8">
        <v>141</v>
      </c>
      <c r="F140" s="8">
        <v>2966</v>
      </c>
      <c r="G140" s="8"/>
    </row>
    <row r="141" spans="1:7">
      <c r="A141" s="7">
        <v>46044</v>
      </c>
      <c r="B141" s="8"/>
      <c r="C141" s="8">
        <v>1476</v>
      </c>
      <c r="D141" s="8">
        <v>189</v>
      </c>
      <c r="E141" s="8">
        <v>349</v>
      </c>
      <c r="F141" s="8">
        <v>2014</v>
      </c>
      <c r="G141" s="8"/>
    </row>
    <row r="142" spans="1:7">
      <c r="A142" s="7">
        <v>46045</v>
      </c>
      <c r="B142" s="8"/>
      <c r="C142" s="8">
        <v>31785</v>
      </c>
      <c r="D142" s="8">
        <v>2200</v>
      </c>
      <c r="E142" s="8">
        <v>15098</v>
      </c>
      <c r="F142" s="8">
        <v>49083</v>
      </c>
      <c r="G142" s="8"/>
    </row>
    <row r="143" spans="1:7">
      <c r="A143" s="7">
        <v>46048</v>
      </c>
      <c r="B143" s="8"/>
      <c r="C143" s="8">
        <v>45194</v>
      </c>
      <c r="D143" s="8">
        <v>3182</v>
      </c>
      <c r="E143" s="8">
        <v>12357</v>
      </c>
      <c r="F143" s="8">
        <v>60733</v>
      </c>
      <c r="G143" s="8"/>
    </row>
    <row r="144" spans="1:7">
      <c r="A144" s="7">
        <v>46049</v>
      </c>
      <c r="B144" s="8"/>
      <c r="C144" s="8">
        <v>19868</v>
      </c>
      <c r="D144" s="8">
        <v>3948</v>
      </c>
      <c r="E144" s="8">
        <v>6675</v>
      </c>
      <c r="F144" s="8">
        <v>30491</v>
      </c>
      <c r="G144" s="8"/>
    </row>
    <row r="145" spans="1:7">
      <c r="A145" s="7">
        <v>46050</v>
      </c>
      <c r="B145" s="8"/>
      <c r="C145" s="8">
        <v>68388</v>
      </c>
      <c r="D145" s="8">
        <v>5034</v>
      </c>
      <c r="E145" s="8">
        <v>6652</v>
      </c>
      <c r="F145" s="8">
        <v>80074</v>
      </c>
      <c r="G145" s="8" t="s">
        <v>319</v>
      </c>
    </row>
    <row r="146" spans="1:7">
      <c r="A146" s="7">
        <v>46051</v>
      </c>
      <c r="B146" s="8"/>
      <c r="C146" s="8">
        <v>23795</v>
      </c>
      <c r="D146" s="8">
        <v>1569</v>
      </c>
      <c r="E146" s="8">
        <v>6993</v>
      </c>
      <c r="F146" s="8">
        <v>32357</v>
      </c>
      <c r="G146" s="8"/>
    </row>
    <row r="147" spans="1:7">
      <c r="A147" s="7">
        <v>46052</v>
      </c>
      <c r="B147" s="8"/>
      <c r="C147" s="8">
        <v>63255</v>
      </c>
      <c r="D147" s="8">
        <v>1392</v>
      </c>
      <c r="E147" s="8">
        <v>6619</v>
      </c>
      <c r="F147" s="8">
        <v>71266</v>
      </c>
      <c r="G147" s="8" t="s">
        <v>319</v>
      </c>
    </row>
    <row r="148" spans="1:7">
      <c r="A148" s="7">
        <v>46055</v>
      </c>
      <c r="B148" s="8"/>
      <c r="C148" s="8">
        <v>40275</v>
      </c>
      <c r="D148" s="8">
        <v>5694</v>
      </c>
      <c r="E148" s="8">
        <v>13591</v>
      </c>
      <c r="F148" s="8">
        <v>59560</v>
      </c>
      <c r="G148" s="8"/>
    </row>
    <row r="149" spans="1:7">
      <c r="A149" s="7">
        <v>46056</v>
      </c>
      <c r="B149" s="8"/>
      <c r="C149" s="8">
        <v>49493</v>
      </c>
      <c r="D149" s="8">
        <v>1578</v>
      </c>
      <c r="E149" s="8">
        <v>6075</v>
      </c>
      <c r="F149" s="8">
        <v>57146</v>
      </c>
      <c r="G149" s="8"/>
    </row>
    <row r="150" spans="1:7">
      <c r="A150" s="7">
        <v>46057</v>
      </c>
      <c r="B150" s="8"/>
      <c r="C150" s="8">
        <v>8336</v>
      </c>
      <c r="D150" s="8">
        <v>758</v>
      </c>
      <c r="E150" s="8">
        <v>2857</v>
      </c>
      <c r="F150" s="8">
        <v>11951</v>
      </c>
      <c r="G150" s="8"/>
    </row>
    <row r="151" spans="1:7">
      <c r="A151" s="7">
        <v>46058</v>
      </c>
      <c r="B151" s="8"/>
      <c r="C151" s="8">
        <v>25813</v>
      </c>
      <c r="D151" s="8">
        <v>92</v>
      </c>
      <c r="E151" s="8">
        <v>905</v>
      </c>
      <c r="F151" s="8">
        <v>26810</v>
      </c>
      <c r="G151" s="8"/>
    </row>
    <row r="152" spans="1:7">
      <c r="A152" s="7">
        <v>46059</v>
      </c>
      <c r="B152" s="8"/>
      <c r="C152" s="8">
        <v>11061</v>
      </c>
      <c r="D152" s="8">
        <v>601</v>
      </c>
      <c r="E152" s="8">
        <v>2983</v>
      </c>
      <c r="F152" s="8">
        <v>14645</v>
      </c>
      <c r="G152" s="8"/>
    </row>
    <row r="153" spans="1:7">
      <c r="A153" s="7">
        <v>46062</v>
      </c>
      <c r="B153" s="8"/>
      <c r="C153" s="8">
        <v>34361</v>
      </c>
      <c r="D153" s="8">
        <v>4284</v>
      </c>
      <c r="E153" s="8">
        <v>19043</v>
      </c>
      <c r="F153" s="8">
        <v>57688</v>
      </c>
      <c r="G153" s="8"/>
    </row>
    <row r="154" spans="1:7">
      <c r="A154" s="9">
        <v>46063</v>
      </c>
      <c r="B154" s="10"/>
      <c r="C154" s="10">
        <v>96166</v>
      </c>
      <c r="D154" s="10">
        <v>6427</v>
      </c>
      <c r="E154" s="10">
        <v>17806</v>
      </c>
      <c r="F154" s="10">
        <v>120399</v>
      </c>
      <c r="G154" s="8" t="s">
        <v>320</v>
      </c>
    </row>
    <row r="155" spans="1:7">
      <c r="A155" s="7">
        <v>46064</v>
      </c>
      <c r="B155" s="8"/>
      <c r="C155" s="8">
        <v>18388</v>
      </c>
      <c r="D155" s="8">
        <v>743</v>
      </c>
      <c r="E155" s="8">
        <v>10380</v>
      </c>
      <c r="F155" s="8">
        <v>29511</v>
      </c>
      <c r="G155" s="8"/>
    </row>
    <row r="156" spans="1:7">
      <c r="A156" s="7">
        <v>46065</v>
      </c>
      <c r="B156" s="8"/>
      <c r="C156" s="8">
        <v>47529</v>
      </c>
      <c r="D156" s="8">
        <v>1806</v>
      </c>
      <c r="E156" s="8">
        <v>19312</v>
      </c>
      <c r="F156" s="8">
        <v>68647</v>
      </c>
      <c r="G156" s="8"/>
    </row>
    <row r="157" spans="1:7">
      <c r="A157" s="7">
        <v>46066</v>
      </c>
      <c r="B157" s="8"/>
      <c r="C157" s="8">
        <v>78151</v>
      </c>
      <c r="D157" s="8"/>
      <c r="E157" s="8">
        <v>17867</v>
      </c>
      <c r="F157" s="8">
        <v>96018</v>
      </c>
      <c r="G157" s="8" t="s">
        <v>319</v>
      </c>
    </row>
    <row r="158" spans="1:7">
      <c r="A158" s="7">
        <v>46067</v>
      </c>
      <c r="B158" s="8"/>
      <c r="C158" s="8">
        <v>35296</v>
      </c>
      <c r="D158" s="8">
        <v>1650</v>
      </c>
      <c r="E158" s="8">
        <v>6638</v>
      </c>
      <c r="F158" s="8">
        <v>43584</v>
      </c>
      <c r="G158" s="8"/>
    </row>
    <row r="159" spans="1:7">
      <c r="A159" s="7">
        <v>46074</v>
      </c>
      <c r="B159" s="8"/>
      <c r="C159" s="8">
        <v>1553</v>
      </c>
      <c r="D159" s="8">
        <v>607</v>
      </c>
      <c r="E159" s="8">
        <v>606</v>
      </c>
      <c r="F159" s="8">
        <v>2766</v>
      </c>
      <c r="G159" s="8"/>
    </row>
    <row r="160" spans="1:7">
      <c r="A160" s="7">
        <v>46078</v>
      </c>
      <c r="B160" s="8"/>
      <c r="C160" s="8">
        <v>41253</v>
      </c>
      <c r="D160" s="8"/>
      <c r="E160" s="8">
        <v>3</v>
      </c>
      <c r="F160" s="8">
        <v>41256</v>
      </c>
      <c r="G160" s="8"/>
    </row>
    <row r="161" spans="1:7">
      <c r="A161" s="7">
        <v>46079</v>
      </c>
      <c r="B161" s="8"/>
      <c r="C161" s="8">
        <v>707</v>
      </c>
      <c r="D161" s="8">
        <v>388</v>
      </c>
      <c r="E161" s="8">
        <v>464</v>
      </c>
      <c r="F161" s="8">
        <v>1559</v>
      </c>
      <c r="G161" s="8"/>
    </row>
    <row r="162" spans="1:7">
      <c r="A162" s="7">
        <v>46080</v>
      </c>
      <c r="B162" s="8"/>
      <c r="C162" s="8">
        <v>24821</v>
      </c>
      <c r="D162" s="8">
        <v>268</v>
      </c>
      <c r="E162" s="8">
        <v>750</v>
      </c>
      <c r="F162" s="8">
        <v>25839</v>
      </c>
      <c r="G162" s="8"/>
    </row>
    <row r="163" spans="1:7">
      <c r="A163" s="9">
        <v>46083</v>
      </c>
      <c r="B163" s="10"/>
      <c r="C163" s="10">
        <v>95869</v>
      </c>
      <c r="D163" s="10">
        <v>3311</v>
      </c>
      <c r="E163" s="10">
        <v>13096</v>
      </c>
      <c r="F163" s="10">
        <v>112276</v>
      </c>
      <c r="G163" s="8" t="s">
        <v>320</v>
      </c>
    </row>
    <row r="164" spans="1:7">
      <c r="A164" s="7">
        <v>46084</v>
      </c>
      <c r="B164" s="8"/>
      <c r="C164" s="8">
        <v>15408</v>
      </c>
      <c r="D164" s="8">
        <v>3531</v>
      </c>
      <c r="E164" s="8">
        <v>3904</v>
      </c>
      <c r="F164" s="8">
        <v>22843</v>
      </c>
      <c r="G164" s="8"/>
    </row>
    <row r="165" spans="1:7">
      <c r="A165" s="7">
        <v>46085</v>
      </c>
      <c r="B165" s="8"/>
      <c r="C165" s="8">
        <v>1081</v>
      </c>
      <c r="D165" s="8">
        <v>59</v>
      </c>
      <c r="E165" s="8">
        <v>316</v>
      </c>
      <c r="F165" s="8">
        <v>1456</v>
      </c>
      <c r="G165" s="8"/>
    </row>
    <row r="166" spans="1:7">
      <c r="A166" s="7">
        <v>46086</v>
      </c>
      <c r="B166" s="8"/>
      <c r="C166" s="8">
        <v>6714</v>
      </c>
      <c r="D166" s="8">
        <v>12</v>
      </c>
      <c r="E166" s="8">
        <v>1052</v>
      </c>
      <c r="F166" s="8">
        <v>7778</v>
      </c>
      <c r="G166" s="8"/>
    </row>
    <row r="167" spans="1:7">
      <c r="A167" s="7">
        <v>46087</v>
      </c>
      <c r="B167" s="8"/>
      <c r="C167" s="8">
        <v>12349</v>
      </c>
      <c r="D167" s="8">
        <v>1105</v>
      </c>
      <c r="E167" s="8">
        <v>3071</v>
      </c>
      <c r="F167" s="8">
        <v>16525</v>
      </c>
      <c r="G167" s="8"/>
    </row>
    <row r="168" spans="1:7">
      <c r="A168" s="7">
        <v>46090</v>
      </c>
      <c r="B168" s="8"/>
      <c r="C168" s="8">
        <v>20642</v>
      </c>
      <c r="D168" s="8">
        <v>2375</v>
      </c>
      <c r="E168" s="8">
        <v>17761</v>
      </c>
      <c r="F168" s="8">
        <v>40778</v>
      </c>
      <c r="G168" s="8"/>
    </row>
    <row r="169" spans="1:7">
      <c r="A169" s="7">
        <v>46091</v>
      </c>
      <c r="B169" s="8"/>
      <c r="C169" s="8">
        <v>25813</v>
      </c>
      <c r="D169" s="8">
        <v>1969</v>
      </c>
      <c r="E169" s="8">
        <v>1657</v>
      </c>
      <c r="F169" s="8">
        <v>29439</v>
      </c>
      <c r="G169" s="8"/>
    </row>
    <row r="170" spans="1:7">
      <c r="A170" s="7">
        <v>46092</v>
      </c>
      <c r="B170" s="8"/>
      <c r="C170" s="8">
        <v>2757</v>
      </c>
      <c r="D170" s="8">
        <v>339</v>
      </c>
      <c r="E170" s="8">
        <v>343</v>
      </c>
      <c r="F170" s="8">
        <v>3439</v>
      </c>
      <c r="G170" s="8"/>
    </row>
    <row r="171" spans="1:7">
      <c r="A171" s="7">
        <v>46093</v>
      </c>
      <c r="B171" s="8"/>
      <c r="C171" s="8">
        <v>12431</v>
      </c>
      <c r="D171" s="8">
        <v>778</v>
      </c>
      <c r="E171" s="8">
        <v>2661</v>
      </c>
      <c r="F171" s="8">
        <v>15870</v>
      </c>
      <c r="G171" s="8"/>
    </row>
    <row r="172" spans="1:7">
      <c r="A172" s="7">
        <v>46094</v>
      </c>
      <c r="B172" s="8"/>
      <c r="C172" s="8">
        <v>9693</v>
      </c>
      <c r="D172" s="8">
        <v>85</v>
      </c>
      <c r="E172" s="8">
        <v>1727</v>
      </c>
      <c r="F172" s="8">
        <v>11505</v>
      </c>
      <c r="G172" s="8"/>
    </row>
    <row r="173" spans="1:7">
      <c r="A173" s="7">
        <v>46097</v>
      </c>
      <c r="B173" s="8"/>
      <c r="C173" s="8">
        <v>44912</v>
      </c>
      <c r="D173" s="8">
        <v>1162</v>
      </c>
      <c r="E173" s="8">
        <v>47595</v>
      </c>
      <c r="F173" s="8">
        <v>93669</v>
      </c>
      <c r="G173" s="8" t="s">
        <v>319</v>
      </c>
    </row>
    <row r="174" spans="1:7">
      <c r="A174" s="7">
        <v>46098</v>
      </c>
      <c r="B174" s="8"/>
      <c r="C174" s="8">
        <v>30814</v>
      </c>
      <c r="D174" s="8">
        <v>20</v>
      </c>
      <c r="E174" s="8">
        <v>493</v>
      </c>
      <c r="F174" s="8">
        <v>31327</v>
      </c>
      <c r="G174" s="8"/>
    </row>
    <row r="175" spans="1:7">
      <c r="A175" s="7">
        <v>46099</v>
      </c>
      <c r="B175" s="8"/>
      <c r="C175" s="8">
        <v>1454</v>
      </c>
      <c r="D175" s="8">
        <v>120</v>
      </c>
      <c r="E175" s="8">
        <v>65</v>
      </c>
      <c r="F175" s="8">
        <v>1639</v>
      </c>
      <c r="G175" s="8"/>
    </row>
    <row r="176" spans="1:7">
      <c r="A176" s="7">
        <v>46100</v>
      </c>
      <c r="B176" s="8"/>
      <c r="C176" s="8">
        <v>7781</v>
      </c>
      <c r="D176" s="8">
        <v>61</v>
      </c>
      <c r="E176" s="8">
        <v>11</v>
      </c>
      <c r="F176" s="8">
        <v>7853</v>
      </c>
      <c r="G176" s="8"/>
    </row>
    <row r="177" spans="1:7">
      <c r="A177" s="7">
        <v>46101</v>
      </c>
      <c r="B177" s="8"/>
      <c r="C177" s="8">
        <v>11204</v>
      </c>
      <c r="D177" s="8">
        <v>785</v>
      </c>
      <c r="E177" s="8">
        <v>5638</v>
      </c>
      <c r="F177" s="8">
        <v>17627</v>
      </c>
      <c r="G177" s="8"/>
    </row>
    <row r="178" spans="1:7">
      <c r="A178" s="7">
        <v>46104</v>
      </c>
      <c r="B178" s="8"/>
      <c r="C178" s="8">
        <v>23992</v>
      </c>
      <c r="D178" s="8">
        <v>267</v>
      </c>
      <c r="E178" s="8">
        <v>3036</v>
      </c>
      <c r="F178" s="8">
        <v>27295</v>
      </c>
      <c r="G178" s="8"/>
    </row>
    <row r="179" spans="1:7">
      <c r="A179" s="7">
        <v>46105</v>
      </c>
      <c r="B179" s="8"/>
      <c r="C179" s="8">
        <v>20352</v>
      </c>
      <c r="D179" s="8">
        <v>2507</v>
      </c>
      <c r="E179" s="8">
        <v>15656</v>
      </c>
      <c r="F179" s="8">
        <v>38515</v>
      </c>
      <c r="G179" s="8"/>
    </row>
    <row r="180" spans="1:7">
      <c r="A180" s="7">
        <v>46106</v>
      </c>
      <c r="B180" s="8"/>
      <c r="C180" s="8">
        <v>2844</v>
      </c>
      <c r="D180" s="8">
        <v>54</v>
      </c>
      <c r="E180" s="8">
        <v>618</v>
      </c>
      <c r="F180" s="8">
        <v>3516</v>
      </c>
      <c r="G180" s="8"/>
    </row>
    <row r="181" spans="1:7">
      <c r="A181" s="7">
        <v>46107</v>
      </c>
      <c r="B181" s="8"/>
      <c r="C181" s="8">
        <v>6215</v>
      </c>
      <c r="D181" s="8">
        <v>331</v>
      </c>
      <c r="E181" s="8">
        <v>252</v>
      </c>
      <c r="F181" s="8">
        <v>6798</v>
      </c>
      <c r="G181" s="8"/>
    </row>
    <row r="182" spans="1:7">
      <c r="A182" s="7">
        <v>46108</v>
      </c>
      <c r="B182" s="8"/>
      <c r="C182" s="8">
        <v>5960</v>
      </c>
      <c r="D182" s="8">
        <v>67</v>
      </c>
      <c r="E182" s="8">
        <v>747</v>
      </c>
      <c r="F182" s="8">
        <v>6774</v>
      </c>
      <c r="G182" s="8"/>
    </row>
    <row r="183" spans="1:7">
      <c r="A183" s="7">
        <v>46111</v>
      </c>
      <c r="B183" s="8"/>
      <c r="C183" s="8">
        <v>6819</v>
      </c>
      <c r="D183" s="8">
        <v>152</v>
      </c>
      <c r="E183" s="8">
        <v>2479</v>
      </c>
      <c r="F183" s="8">
        <v>9450</v>
      </c>
      <c r="G183" s="8"/>
    </row>
    <row r="184" spans="1:7">
      <c r="A184" s="7">
        <v>46112</v>
      </c>
      <c r="B184" s="8"/>
      <c r="C184" s="8">
        <v>2478</v>
      </c>
      <c r="D184" s="8">
        <v>2041</v>
      </c>
      <c r="E184" s="8">
        <v>444</v>
      </c>
      <c r="F184" s="8">
        <v>4963</v>
      </c>
      <c r="G184" s="8"/>
    </row>
    <row r="185" spans="1:7">
      <c r="A185" s="7">
        <v>46113</v>
      </c>
      <c r="B185" s="8"/>
      <c r="C185" s="8">
        <v>110</v>
      </c>
      <c r="D185" s="8">
        <v>5</v>
      </c>
      <c r="E185" s="8">
        <v>39</v>
      </c>
      <c r="F185" s="8">
        <v>154</v>
      </c>
      <c r="G185" s="8"/>
    </row>
    <row r="186" spans="1:7">
      <c r="A186" s="7">
        <v>46114</v>
      </c>
      <c r="B186" s="8"/>
      <c r="C186" s="8">
        <v>7698</v>
      </c>
      <c r="D186" s="8">
        <v>3594</v>
      </c>
      <c r="E186" s="8">
        <v>5886</v>
      </c>
      <c r="F186" s="8">
        <v>17178</v>
      </c>
      <c r="G186" s="8"/>
    </row>
    <row r="187" spans="1:7">
      <c r="A187" s="7">
        <v>46115</v>
      </c>
      <c r="B187" s="8"/>
      <c r="C187" s="8">
        <v>16525</v>
      </c>
      <c r="D187" s="8">
        <v>1975</v>
      </c>
      <c r="E187" s="8">
        <v>7291</v>
      </c>
      <c r="F187" s="8">
        <v>25791</v>
      </c>
      <c r="G187" s="8"/>
    </row>
    <row r="188" spans="1:7">
      <c r="A188" s="7">
        <v>46119</v>
      </c>
      <c r="B188" s="8"/>
      <c r="C188" s="8">
        <v>39439</v>
      </c>
      <c r="D188" s="8">
        <v>10201</v>
      </c>
      <c r="E188" s="8">
        <v>23123</v>
      </c>
      <c r="F188" s="8">
        <v>72763</v>
      </c>
      <c r="G188" s="8" t="s">
        <v>319</v>
      </c>
    </row>
    <row r="189" spans="1:7">
      <c r="A189" s="7">
        <v>46120</v>
      </c>
      <c r="B189" s="8"/>
      <c r="C189" s="8">
        <v>26293</v>
      </c>
      <c r="D189" s="8">
        <v>18868</v>
      </c>
      <c r="E189" s="8">
        <v>9355</v>
      </c>
      <c r="F189" s="8">
        <v>54516</v>
      </c>
      <c r="G189" s="8"/>
    </row>
    <row r="190" spans="1:7">
      <c r="A190" s="7">
        <v>46121</v>
      </c>
      <c r="B190" s="8"/>
      <c r="C190" s="8">
        <v>1451</v>
      </c>
      <c r="D190" s="8">
        <v>56</v>
      </c>
      <c r="E190" s="8">
        <v>415</v>
      </c>
      <c r="F190" s="8">
        <v>1922</v>
      </c>
      <c r="G190" s="8"/>
    </row>
    <row r="191" spans="1:7">
      <c r="A191" s="7">
        <v>46122</v>
      </c>
      <c r="B191" s="8"/>
      <c r="C191" s="8">
        <v>8878</v>
      </c>
      <c r="D191" s="8">
        <v>1256</v>
      </c>
      <c r="E191" s="8">
        <v>2624</v>
      </c>
      <c r="F191" s="8">
        <v>12758</v>
      </c>
      <c r="G191" s="8"/>
    </row>
    <row r="192" spans="1:7">
      <c r="A192" s="7">
        <v>46125</v>
      </c>
      <c r="B192" s="8"/>
      <c r="C192" s="8">
        <v>18697</v>
      </c>
      <c r="D192" s="8">
        <v>977</v>
      </c>
      <c r="E192" s="8">
        <v>2619</v>
      </c>
      <c r="F192" s="8">
        <v>22293</v>
      </c>
      <c r="G192" s="8"/>
    </row>
    <row r="193" spans="1:7">
      <c r="A193" s="7">
        <v>46126</v>
      </c>
      <c r="B193" s="8"/>
      <c r="C193" s="8">
        <v>33165</v>
      </c>
      <c r="D193" s="8">
        <v>28794</v>
      </c>
      <c r="E193" s="8">
        <v>9132</v>
      </c>
      <c r="F193" s="8">
        <v>71091</v>
      </c>
      <c r="G193" s="8" t="s">
        <v>319</v>
      </c>
    </row>
    <row r="194" spans="1:7">
      <c r="A194" s="7">
        <v>46127</v>
      </c>
      <c r="B194" s="8"/>
      <c r="C194" s="8">
        <v>7166</v>
      </c>
      <c r="D194" s="8">
        <v>835</v>
      </c>
      <c r="E194" s="8">
        <v>1675</v>
      </c>
      <c r="F194" s="8">
        <v>9676</v>
      </c>
      <c r="G194" s="8"/>
    </row>
    <row r="195" spans="1:7">
      <c r="A195" s="7">
        <v>46128</v>
      </c>
      <c r="B195" s="8"/>
      <c r="C195" s="8">
        <v>8616</v>
      </c>
      <c r="D195" s="8">
        <v>566</v>
      </c>
      <c r="E195" s="8">
        <v>777</v>
      </c>
      <c r="F195" s="8">
        <v>9959</v>
      </c>
      <c r="G195" s="8"/>
    </row>
    <row r="196" spans="1:7">
      <c r="A196" s="7">
        <v>46129</v>
      </c>
      <c r="B196" s="8"/>
      <c r="C196" s="8">
        <v>22939</v>
      </c>
      <c r="D196" s="8">
        <v>1657</v>
      </c>
      <c r="E196" s="8">
        <v>17953</v>
      </c>
      <c r="F196" s="8">
        <v>42549</v>
      </c>
      <c r="G196" s="8"/>
    </row>
    <row r="197" spans="1:7">
      <c r="A197" s="7">
        <v>46130</v>
      </c>
      <c r="B197" s="8"/>
      <c r="C197" s="8">
        <v>17296</v>
      </c>
      <c r="D197" s="8">
        <v>11786</v>
      </c>
      <c r="E197" s="8">
        <v>23020</v>
      </c>
      <c r="F197" s="8">
        <v>52102</v>
      </c>
      <c r="G197" s="8"/>
    </row>
    <row r="198" spans="1:7">
      <c r="A198" s="7">
        <v>46132</v>
      </c>
      <c r="B198" s="8"/>
      <c r="C198" s="8">
        <v>56859</v>
      </c>
      <c r="D198" s="8">
        <v>14803</v>
      </c>
      <c r="E198" s="8">
        <v>24503</v>
      </c>
      <c r="F198" s="8">
        <v>96165</v>
      </c>
      <c r="G198" s="8" t="s">
        <v>319</v>
      </c>
    </row>
    <row r="199" spans="1:7">
      <c r="A199" s="7">
        <v>46133</v>
      </c>
      <c r="B199" s="8"/>
      <c r="C199" s="8">
        <v>65776</v>
      </c>
      <c r="D199" s="8">
        <v>4577</v>
      </c>
      <c r="E199" s="8">
        <v>3833</v>
      </c>
      <c r="F199" s="8">
        <v>74186</v>
      </c>
      <c r="G199" s="8" t="s">
        <v>319</v>
      </c>
    </row>
    <row r="200" spans="1:7">
      <c r="A200" s="7">
        <v>46134</v>
      </c>
      <c r="B200" s="8"/>
      <c r="C200" s="8">
        <v>34185</v>
      </c>
      <c r="D200" s="8">
        <v>3306</v>
      </c>
      <c r="E200" s="8">
        <v>1727</v>
      </c>
      <c r="F200" s="8">
        <v>39218</v>
      </c>
      <c r="G200" s="8"/>
    </row>
    <row r="201" spans="1:7">
      <c r="A201" s="7">
        <v>46135</v>
      </c>
      <c r="B201" s="8"/>
      <c r="C201" s="8">
        <v>6547</v>
      </c>
      <c r="D201" s="8">
        <v>719</v>
      </c>
      <c r="E201" s="8">
        <v>2366</v>
      </c>
      <c r="F201" s="8">
        <v>9632</v>
      </c>
      <c r="G201" s="8"/>
    </row>
    <row r="202" spans="1:7">
      <c r="A202" s="7">
        <v>46136</v>
      </c>
      <c r="B202" s="8"/>
      <c r="C202" s="8">
        <v>15113</v>
      </c>
      <c r="D202" s="8">
        <v>1782</v>
      </c>
      <c r="E202" s="8">
        <v>5959</v>
      </c>
      <c r="F202" s="8">
        <v>22854</v>
      </c>
      <c r="G202" s="8"/>
    </row>
    <row r="203" spans="1:7">
      <c r="A203" s="9">
        <v>46139</v>
      </c>
      <c r="B203" s="10"/>
      <c r="C203" s="10">
        <v>65846</v>
      </c>
      <c r="D203" s="10">
        <v>12814</v>
      </c>
      <c r="E203" s="10">
        <v>42841</v>
      </c>
      <c r="F203" s="10">
        <v>121501</v>
      </c>
      <c r="G203" s="8" t="s">
        <v>320</v>
      </c>
    </row>
    <row r="204" spans="1:7">
      <c r="A204" s="7">
        <v>46140</v>
      </c>
      <c r="B204" s="8"/>
      <c r="C204" s="8">
        <v>65181</v>
      </c>
      <c r="D204" s="8">
        <v>5050</v>
      </c>
      <c r="E204" s="8">
        <v>2078</v>
      </c>
      <c r="F204" s="8">
        <v>72309</v>
      </c>
      <c r="G204" s="8" t="s">
        <v>319</v>
      </c>
    </row>
    <row r="205" spans="1:7">
      <c r="A205" s="7">
        <v>46141</v>
      </c>
      <c r="B205" s="8"/>
      <c r="C205" s="8">
        <v>29792</v>
      </c>
      <c r="D205" s="8">
        <v>5292</v>
      </c>
      <c r="E205" s="8">
        <v>2349</v>
      </c>
      <c r="F205" s="8">
        <v>37433</v>
      </c>
      <c r="G205" s="8"/>
    </row>
    <row r="206" spans="1:7">
      <c r="A206" s="7">
        <v>46142</v>
      </c>
      <c r="B206" s="8"/>
      <c r="C206" s="8">
        <v>17845</v>
      </c>
      <c r="D206" s="8">
        <v>2086</v>
      </c>
      <c r="E206" s="8">
        <v>8715</v>
      </c>
      <c r="F206" s="8">
        <v>28646</v>
      </c>
      <c r="G206" s="8"/>
    </row>
    <row r="207" spans="1:7">
      <c r="A207" s="7">
        <v>46147</v>
      </c>
      <c r="B207" s="8"/>
      <c r="C207" s="8">
        <v>37432</v>
      </c>
      <c r="D207" s="8">
        <v>13473</v>
      </c>
      <c r="E207" s="8">
        <v>13456</v>
      </c>
      <c r="F207" s="8">
        <v>64361</v>
      </c>
      <c r="G207" s="8"/>
    </row>
    <row r="208" spans="1:7">
      <c r="A208" s="7">
        <v>46148</v>
      </c>
      <c r="B208" s="8"/>
      <c r="C208" s="8">
        <v>17366</v>
      </c>
      <c r="D208" s="8">
        <v>6933</v>
      </c>
      <c r="E208" s="8">
        <v>7364</v>
      </c>
      <c r="F208" s="8">
        <v>31663</v>
      </c>
      <c r="G208" s="8"/>
    </row>
    <row r="209" spans="1:7">
      <c r="A209" s="7">
        <v>46149</v>
      </c>
      <c r="B209" s="8">
        <v>124</v>
      </c>
      <c r="C209" s="8">
        <v>20828</v>
      </c>
      <c r="D209" s="8">
        <v>3770</v>
      </c>
      <c r="E209" s="8">
        <v>16743</v>
      </c>
      <c r="F209" s="8">
        <v>41465</v>
      </c>
      <c r="G209" s="8"/>
    </row>
    <row r="210" spans="1:7">
      <c r="A210" s="7">
        <v>46150</v>
      </c>
      <c r="B210" s="8">
        <v>2322</v>
      </c>
      <c r="C210" s="8">
        <v>30045</v>
      </c>
      <c r="D210" s="8">
        <v>2030</v>
      </c>
      <c r="E210" s="8">
        <v>17445</v>
      </c>
      <c r="F210" s="8">
        <v>51842</v>
      </c>
      <c r="G210" s="8"/>
    </row>
    <row r="211" spans="1:7">
      <c r="A211" s="7">
        <v>46153</v>
      </c>
      <c r="B211" s="8">
        <v>2505</v>
      </c>
      <c r="C211" s="8">
        <v>30201</v>
      </c>
      <c r="D211" s="8">
        <v>4197</v>
      </c>
      <c r="E211" s="8">
        <v>14581</v>
      </c>
      <c r="F211" s="8">
        <v>51484</v>
      </c>
      <c r="G211" s="8"/>
    </row>
    <row r="212" spans="1:7">
      <c r="A212" s="7">
        <v>46154</v>
      </c>
      <c r="B212" s="8">
        <v>306</v>
      </c>
      <c r="C212" s="8">
        <v>22482</v>
      </c>
      <c r="D212" s="8">
        <v>2316</v>
      </c>
      <c r="E212" s="8">
        <v>2519</v>
      </c>
      <c r="F212" s="8">
        <v>27623</v>
      </c>
      <c r="G212" s="8"/>
    </row>
    <row r="213" spans="1:7">
      <c r="A213" s="7">
        <v>46155</v>
      </c>
      <c r="B213" s="8"/>
      <c r="C213" s="8">
        <v>1978</v>
      </c>
      <c r="D213" s="8">
        <v>1936</v>
      </c>
      <c r="E213" s="8">
        <v>1584</v>
      </c>
      <c r="F213" s="8">
        <v>5498</v>
      </c>
      <c r="G213" s="8"/>
    </row>
    <row r="214" spans="1:7">
      <c r="A214" s="7">
        <v>46156</v>
      </c>
      <c r="B214" s="8">
        <v>12</v>
      </c>
      <c r="C214" s="8">
        <v>4361</v>
      </c>
      <c r="D214" s="8">
        <v>369</v>
      </c>
      <c r="E214" s="8">
        <v>1474</v>
      </c>
      <c r="F214" s="8">
        <v>6216</v>
      </c>
      <c r="G214" s="8"/>
    </row>
    <row r="215" spans="1:7">
      <c r="A215" s="7">
        <v>46157</v>
      </c>
      <c r="B215" s="8">
        <v>122</v>
      </c>
      <c r="C215" s="8">
        <v>11207</v>
      </c>
      <c r="D215" s="8">
        <v>1231</v>
      </c>
      <c r="E215" s="8">
        <v>4734</v>
      </c>
      <c r="F215" s="8">
        <v>17294</v>
      </c>
      <c r="G215" s="8"/>
    </row>
    <row r="216" spans="1:7">
      <c r="A216" s="7">
        <v>46158</v>
      </c>
      <c r="B216" s="8">
        <v>3770</v>
      </c>
      <c r="C216" s="8">
        <v>15942</v>
      </c>
      <c r="D216" s="8">
        <v>1906</v>
      </c>
      <c r="E216" s="8">
        <v>18425</v>
      </c>
      <c r="F216" s="8">
        <v>40043</v>
      </c>
      <c r="G216" s="8"/>
    </row>
    <row r="217" spans="1:7">
      <c r="A217" s="7">
        <v>46160</v>
      </c>
      <c r="B217" s="8">
        <v>1034</v>
      </c>
      <c r="C217" s="8">
        <v>44244</v>
      </c>
      <c r="D217" s="8">
        <v>28129</v>
      </c>
      <c r="E217" s="8">
        <v>11890</v>
      </c>
      <c r="F217" s="8">
        <v>85297</v>
      </c>
      <c r="G217" s="8" t="s">
        <v>319</v>
      </c>
    </row>
    <row r="218" spans="1:7">
      <c r="A218" s="7">
        <v>46161</v>
      </c>
      <c r="B218" s="8">
        <v>6806</v>
      </c>
      <c r="C218" s="8">
        <v>28557</v>
      </c>
      <c r="D218" s="8">
        <v>21339</v>
      </c>
      <c r="E218" s="8">
        <v>7539</v>
      </c>
      <c r="F218" s="8">
        <v>64241</v>
      </c>
      <c r="G218" s="8"/>
    </row>
    <row r="219" spans="1:7">
      <c r="A219" s="7">
        <v>46162</v>
      </c>
      <c r="B219" s="8">
        <v>48</v>
      </c>
      <c r="C219" s="8">
        <v>15813</v>
      </c>
      <c r="D219" s="8">
        <v>5571</v>
      </c>
      <c r="E219" s="8">
        <v>1285</v>
      </c>
      <c r="F219" s="8">
        <v>22717</v>
      </c>
      <c r="G219" s="8"/>
    </row>
    <row r="220" spans="1:7">
      <c r="A220" s="7">
        <v>46163</v>
      </c>
      <c r="B220" s="8">
        <v>38</v>
      </c>
      <c r="C220" s="8">
        <v>15029</v>
      </c>
      <c r="D220" s="8">
        <v>14697</v>
      </c>
      <c r="E220" s="8">
        <v>885</v>
      </c>
      <c r="F220" s="8">
        <v>30649</v>
      </c>
      <c r="G220" s="8"/>
    </row>
    <row r="221" spans="1:7">
      <c r="A221" s="7">
        <v>46164</v>
      </c>
      <c r="B221" s="8">
        <v>183</v>
      </c>
      <c r="C221" s="8">
        <v>29821</v>
      </c>
      <c r="D221" s="8">
        <v>17170</v>
      </c>
      <c r="E221" s="8">
        <v>6116</v>
      </c>
      <c r="F221" s="8">
        <v>53290</v>
      </c>
      <c r="G221" s="8"/>
    </row>
    <row r="222" spans="1:7">
      <c r="A222" s="7">
        <v>46165</v>
      </c>
      <c r="B222" s="8">
        <v>2816</v>
      </c>
      <c r="C222" s="8">
        <v>15011</v>
      </c>
      <c r="D222" s="8">
        <v>5291</v>
      </c>
      <c r="E222" s="8">
        <v>17923</v>
      </c>
      <c r="F222" s="8">
        <v>41041</v>
      </c>
      <c r="G222" s="8"/>
    </row>
    <row r="223" spans="1:7">
      <c r="A223" s="7">
        <v>46167</v>
      </c>
      <c r="B223" s="8">
        <v>2478</v>
      </c>
      <c r="C223" s="8">
        <v>36945</v>
      </c>
      <c r="D223" s="8">
        <v>18552</v>
      </c>
      <c r="E223" s="8">
        <v>2320</v>
      </c>
      <c r="F223" s="8">
        <v>60295</v>
      </c>
      <c r="G223" s="8"/>
    </row>
    <row r="224" spans="1:7">
      <c r="A224" s="7">
        <v>46168</v>
      </c>
      <c r="B224" s="8">
        <v>1697</v>
      </c>
      <c r="C224" s="8">
        <v>22695</v>
      </c>
      <c r="D224" s="8">
        <v>7281</v>
      </c>
      <c r="E224" s="8">
        <v>7662</v>
      </c>
      <c r="F224" s="8">
        <v>39335</v>
      </c>
      <c r="G224" s="8"/>
    </row>
    <row r="225" spans="1:7">
      <c r="A225" s="7">
        <v>46169</v>
      </c>
      <c r="B225" s="8">
        <v>18</v>
      </c>
      <c r="C225" s="8">
        <v>588</v>
      </c>
      <c r="D225" s="8">
        <v>115</v>
      </c>
      <c r="E225" s="8">
        <v>220</v>
      </c>
      <c r="F225" s="8">
        <v>941</v>
      </c>
      <c r="G225" s="8"/>
    </row>
    <row r="226" spans="1:7">
      <c r="A226" s="7">
        <v>46170</v>
      </c>
      <c r="B226" s="8">
        <v>538</v>
      </c>
      <c r="C226" s="8">
        <v>30039</v>
      </c>
      <c r="D226" s="8">
        <v>3177</v>
      </c>
      <c r="E226" s="8">
        <v>3802</v>
      </c>
      <c r="F226" s="8">
        <v>37556</v>
      </c>
      <c r="G226" s="8"/>
    </row>
    <row r="227" spans="1:7">
      <c r="A227" s="7">
        <v>46171</v>
      </c>
      <c r="B227" s="8">
        <v>416</v>
      </c>
      <c r="C227" s="8">
        <v>22025</v>
      </c>
      <c r="D227" s="8">
        <v>4315</v>
      </c>
      <c r="E227" s="8">
        <v>1709</v>
      </c>
      <c r="F227" s="8">
        <v>28465</v>
      </c>
      <c r="G227" s="8"/>
    </row>
    <row r="228" spans="1:7">
      <c r="A228" s="7">
        <v>46174</v>
      </c>
      <c r="B228" s="8">
        <v>78</v>
      </c>
      <c r="C228" s="8">
        <v>15855</v>
      </c>
      <c r="D228" s="8">
        <v>4430</v>
      </c>
      <c r="E228" s="8">
        <v>912</v>
      </c>
      <c r="F228" s="8">
        <v>21275</v>
      </c>
      <c r="G228" s="8"/>
    </row>
    <row r="229" spans="1:7">
      <c r="A229" s="7">
        <v>46175</v>
      </c>
      <c r="B229" s="8">
        <v>44</v>
      </c>
      <c r="C229" s="8">
        <v>18955</v>
      </c>
      <c r="D229" s="8">
        <v>2518</v>
      </c>
      <c r="E229" s="8">
        <v>9703</v>
      </c>
      <c r="F229" s="8">
        <v>31220</v>
      </c>
      <c r="G229" s="8"/>
    </row>
    <row r="230" spans="1:7">
      <c r="A230" s="7">
        <v>46176</v>
      </c>
      <c r="B230" s="8"/>
      <c r="C230" s="8">
        <v>1269</v>
      </c>
      <c r="D230" s="8">
        <v>677</v>
      </c>
      <c r="E230" s="8">
        <v>692</v>
      </c>
      <c r="F230" s="8">
        <v>2638</v>
      </c>
      <c r="G230" s="8"/>
    </row>
    <row r="231" spans="1:7">
      <c r="A231" s="7">
        <v>46177</v>
      </c>
      <c r="B231" s="8">
        <v>187</v>
      </c>
      <c r="C231" s="8">
        <v>4755</v>
      </c>
      <c r="D231" s="8">
        <v>144</v>
      </c>
      <c r="E231" s="8">
        <v>2823</v>
      </c>
      <c r="F231" s="8">
        <v>7909</v>
      </c>
      <c r="G231" s="8"/>
    </row>
    <row r="232" spans="1:7">
      <c r="A232" s="7">
        <v>46178</v>
      </c>
      <c r="B232" s="8">
        <v>353</v>
      </c>
      <c r="C232" s="8">
        <v>13846</v>
      </c>
      <c r="D232" s="8">
        <v>3095</v>
      </c>
      <c r="E232" s="8">
        <v>3300</v>
      </c>
      <c r="F232" s="8">
        <v>20594</v>
      </c>
      <c r="G232" s="8"/>
    </row>
    <row r="233" spans="1:7">
      <c r="A233" s="7">
        <v>46181</v>
      </c>
      <c r="B233" s="8">
        <v>1185</v>
      </c>
      <c r="C233" s="8">
        <v>11654</v>
      </c>
      <c r="D233" s="8">
        <v>1770</v>
      </c>
      <c r="E233" s="8">
        <v>4412</v>
      </c>
      <c r="F233" s="8">
        <v>19021</v>
      </c>
      <c r="G233" s="8"/>
    </row>
    <row r="234" spans="1:7">
      <c r="A234" s="7">
        <v>46182</v>
      </c>
      <c r="B234" s="8"/>
      <c r="C234" s="8">
        <v>7435</v>
      </c>
      <c r="D234" s="8">
        <v>702</v>
      </c>
      <c r="E234" s="8">
        <v>196</v>
      </c>
      <c r="F234" s="8">
        <v>8333</v>
      </c>
      <c r="G234" s="8"/>
    </row>
    <row r="235" spans="1:7">
      <c r="A235" s="7">
        <v>46183</v>
      </c>
      <c r="B235" s="8"/>
      <c r="C235" s="8">
        <v>1040</v>
      </c>
      <c r="D235" s="8">
        <v>200</v>
      </c>
      <c r="E235" s="8">
        <v>82</v>
      </c>
      <c r="F235" s="8">
        <v>1322</v>
      </c>
      <c r="G235" s="8"/>
    </row>
    <row r="236" spans="1:7">
      <c r="A236" s="7">
        <v>46184</v>
      </c>
      <c r="B236" s="8">
        <v>261</v>
      </c>
      <c r="C236" s="8">
        <v>4143</v>
      </c>
      <c r="D236" s="8">
        <v>3524</v>
      </c>
      <c r="E236" s="8">
        <v>2408</v>
      </c>
      <c r="F236" s="8">
        <v>10336</v>
      </c>
      <c r="G236" s="8"/>
    </row>
    <row r="237" spans="1:7">
      <c r="A237" s="7">
        <v>46185</v>
      </c>
      <c r="B237" s="8">
        <v>5668</v>
      </c>
      <c r="C237" s="8">
        <v>16551</v>
      </c>
      <c r="D237" s="8">
        <v>479</v>
      </c>
      <c r="E237" s="8">
        <v>14092</v>
      </c>
      <c r="F237" s="8">
        <v>36790</v>
      </c>
      <c r="G237" s="8"/>
    </row>
    <row r="238" spans="1:7">
      <c r="A238" s="7">
        <v>46188</v>
      </c>
      <c r="B238" s="8">
        <v>1415</v>
      </c>
      <c r="C238" s="8">
        <v>26964</v>
      </c>
      <c r="D238" s="8">
        <v>2341</v>
      </c>
      <c r="E238" s="8">
        <v>7559</v>
      </c>
      <c r="F238" s="8">
        <v>38279</v>
      </c>
      <c r="G238" s="8"/>
    </row>
    <row r="239" spans="1:7">
      <c r="A239" s="7">
        <v>46189</v>
      </c>
      <c r="B239" s="8">
        <v>140</v>
      </c>
      <c r="C239" s="8">
        <v>2127</v>
      </c>
      <c r="D239" s="8">
        <v>201</v>
      </c>
      <c r="E239" s="8">
        <v>2167</v>
      </c>
      <c r="F239" s="8">
        <v>4635</v>
      </c>
      <c r="G239" s="8"/>
    </row>
    <row r="240" spans="1:7">
      <c r="A240" s="7">
        <v>46190</v>
      </c>
      <c r="B240" s="8"/>
      <c r="C240" s="8">
        <v>136</v>
      </c>
      <c r="D240" s="8">
        <v>31</v>
      </c>
      <c r="E240" s="8"/>
      <c r="F240" s="8">
        <v>167</v>
      </c>
      <c r="G240" s="8"/>
    </row>
    <row r="241" spans="1:7">
      <c r="A241" s="7">
        <v>46191</v>
      </c>
      <c r="B241" s="8">
        <v>1147</v>
      </c>
      <c r="C241" s="8">
        <v>21918</v>
      </c>
      <c r="D241" s="8">
        <v>3006</v>
      </c>
      <c r="E241" s="8">
        <v>4116</v>
      </c>
      <c r="F241" s="8">
        <v>30187</v>
      </c>
      <c r="G241" s="8"/>
    </row>
    <row r="242" spans="1:7">
      <c r="A242" s="7">
        <v>46195</v>
      </c>
      <c r="B242" s="8">
        <v>4065</v>
      </c>
      <c r="C242" s="8">
        <v>16358</v>
      </c>
      <c r="D242" s="8">
        <v>2785</v>
      </c>
      <c r="E242" s="8">
        <v>7093</v>
      </c>
      <c r="F242" s="8">
        <v>30301</v>
      </c>
      <c r="G242" s="8"/>
    </row>
    <row r="243" spans="1:7">
      <c r="A243" s="7">
        <v>46196</v>
      </c>
      <c r="B243" s="8">
        <v>1423</v>
      </c>
      <c r="C243" s="8">
        <v>15569</v>
      </c>
      <c r="D243" s="8">
        <v>2269</v>
      </c>
      <c r="E243" s="8">
        <v>8164</v>
      </c>
      <c r="F243" s="8">
        <v>27425</v>
      </c>
      <c r="G243" s="8"/>
    </row>
    <row r="244" spans="1:7">
      <c r="A244" s="7">
        <v>46197</v>
      </c>
      <c r="B244" s="8">
        <v>425</v>
      </c>
      <c r="C244" s="8">
        <v>6949</v>
      </c>
      <c r="D244" s="8">
        <v>1097</v>
      </c>
      <c r="E244" s="8">
        <v>3163</v>
      </c>
      <c r="F244" s="8">
        <v>11634</v>
      </c>
      <c r="G244" s="8"/>
    </row>
    <row r="245" spans="1:7">
      <c r="A245" s="7">
        <v>46198</v>
      </c>
      <c r="B245" s="8">
        <v>1173</v>
      </c>
      <c r="C245" s="8">
        <v>7687</v>
      </c>
      <c r="D245" s="8">
        <v>1389</v>
      </c>
      <c r="E245" s="8">
        <v>2724</v>
      </c>
      <c r="F245" s="8">
        <v>12973</v>
      </c>
      <c r="G245" s="8"/>
    </row>
    <row r="246" spans="1:7">
      <c r="A246" s="7">
        <v>46199</v>
      </c>
      <c r="B246" s="8">
        <v>2260</v>
      </c>
      <c r="C246" s="8">
        <v>16914</v>
      </c>
      <c r="D246" s="8">
        <v>4105</v>
      </c>
      <c r="E246" s="8">
        <v>18747</v>
      </c>
      <c r="F246" s="8">
        <v>42026</v>
      </c>
      <c r="G246" s="8"/>
    </row>
    <row r="247" spans="1:7">
      <c r="A247" s="7">
        <v>46202</v>
      </c>
      <c r="B247" s="8">
        <v>403</v>
      </c>
      <c r="C247" s="8">
        <v>22587</v>
      </c>
      <c r="D247" s="8">
        <v>1884</v>
      </c>
      <c r="E247" s="8">
        <v>8442</v>
      </c>
      <c r="F247" s="8">
        <v>33316</v>
      </c>
      <c r="G247" s="8"/>
    </row>
    <row r="248" spans="1:7">
      <c r="A248" s="7">
        <v>46203</v>
      </c>
      <c r="B248" s="8">
        <v>465</v>
      </c>
      <c r="C248" s="8">
        <v>3567</v>
      </c>
      <c r="D248" s="8">
        <v>109</v>
      </c>
      <c r="E248" s="8">
        <v>3286</v>
      </c>
      <c r="F248" s="8">
        <v>7427</v>
      </c>
      <c r="G248" s="8"/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showGridLines="0" workbookViewId="0">
      <selection activeCell="F20" sqref="F20"/>
    </sheetView>
  </sheetViews>
  <sheetFormatPr defaultColWidth="9" defaultRowHeight="14.15"/>
  <cols>
    <col min="1" max="1" width="13.23046875" style="1" customWidth="1"/>
    <col min="2" max="2" width="22" style="1" customWidth="1"/>
    <col min="3" max="3" width="9.69140625" style="1" customWidth="1"/>
    <col min="4" max="4" width="30" style="1" customWidth="1"/>
    <col min="5" max="5" width="7.84375" style="1" customWidth="1"/>
    <col min="6" max="6" width="8.69140625" style="1" customWidth="1"/>
    <col min="7" max="7" width="18" style="1" customWidth="1"/>
  </cols>
  <sheetData>
    <row r="1" spans="1:7" ht="21.65" customHeight="1">
      <c r="A1" s="165" t="s">
        <v>321</v>
      </c>
      <c r="B1" s="166"/>
      <c r="C1" s="166"/>
      <c r="D1" s="166"/>
      <c r="E1" s="166"/>
      <c r="F1" s="166"/>
      <c r="G1" s="166"/>
    </row>
    <row r="2" spans="1:7" ht="15" customHeight="1">
      <c r="A2" s="167" t="s">
        <v>322</v>
      </c>
      <c r="B2" s="166"/>
      <c r="C2" s="166"/>
      <c r="D2" s="166"/>
      <c r="E2" s="166"/>
      <c r="F2" s="166"/>
      <c r="G2" s="166"/>
    </row>
    <row r="3" spans="1:7" ht="15" customHeight="1">
      <c r="A3" s="168" t="s">
        <v>323</v>
      </c>
      <c r="B3" s="166"/>
      <c r="C3" s="166"/>
      <c r="D3" s="166"/>
      <c r="E3" s="166"/>
      <c r="F3" s="2"/>
      <c r="G3" s="2"/>
    </row>
    <row r="4" spans="1:7" ht="15" customHeight="1">
      <c r="A4" s="3" t="s">
        <v>22</v>
      </c>
      <c r="B4" s="3" t="s">
        <v>324</v>
      </c>
      <c r="C4" s="3" t="s">
        <v>325</v>
      </c>
      <c r="D4" s="3" t="s">
        <v>326</v>
      </c>
      <c r="E4" s="3" t="s">
        <v>327</v>
      </c>
      <c r="F4" s="2"/>
      <c r="G4" s="2"/>
    </row>
    <row r="5" spans="1:7" ht="15" customHeight="1">
      <c r="A5" s="4">
        <v>1</v>
      </c>
      <c r="B5" s="4" t="s">
        <v>328</v>
      </c>
      <c r="C5" s="4">
        <v>1</v>
      </c>
      <c r="D5" s="4" t="s">
        <v>329</v>
      </c>
      <c r="E5" s="4" t="s">
        <v>330</v>
      </c>
      <c r="F5" s="2"/>
      <c r="G5" s="2"/>
    </row>
    <row r="6" spans="1:7" ht="15" customHeight="1">
      <c r="A6" s="4">
        <v>2</v>
      </c>
      <c r="B6" s="5" t="s">
        <v>331</v>
      </c>
      <c r="C6" s="4">
        <v>1</v>
      </c>
      <c r="D6" s="4" t="s">
        <v>332</v>
      </c>
      <c r="E6" s="4" t="s">
        <v>333</v>
      </c>
      <c r="F6" s="2"/>
      <c r="G6" s="2"/>
    </row>
    <row r="7" spans="1:7" ht="15" customHeight="1">
      <c r="A7" s="4">
        <v>3</v>
      </c>
      <c r="B7" s="4" t="s">
        <v>334</v>
      </c>
      <c r="C7" s="4">
        <v>1</v>
      </c>
      <c r="D7" s="4" t="s">
        <v>335</v>
      </c>
      <c r="E7" s="5" t="s">
        <v>336</v>
      </c>
      <c r="F7" s="2"/>
      <c r="G7" s="2"/>
    </row>
    <row r="8" spans="1:7" ht="15" customHeight="1">
      <c r="A8" s="4">
        <v>4</v>
      </c>
      <c r="B8" s="4" t="s">
        <v>337</v>
      </c>
      <c r="C8" s="4">
        <v>1</v>
      </c>
      <c r="D8" s="4" t="s">
        <v>338</v>
      </c>
      <c r="E8" s="4" t="s">
        <v>339</v>
      </c>
      <c r="F8" s="2"/>
      <c r="G8" s="2"/>
    </row>
    <row r="9" spans="1:7" ht="15" customHeight="1">
      <c r="A9" s="163" t="s">
        <v>340</v>
      </c>
      <c r="B9" s="164"/>
      <c r="C9" s="6">
        <f>SUM(C5:C8)</f>
        <v>4</v>
      </c>
      <c r="D9" s="6"/>
      <c r="E9" s="6"/>
      <c r="F9" s="2"/>
      <c r="G9" s="2"/>
    </row>
    <row r="10" spans="1:7" ht="15" customHeight="1">
      <c r="A10" s="2"/>
      <c r="B10" s="2"/>
      <c r="C10" s="2"/>
      <c r="D10" s="2"/>
      <c r="E10" s="2"/>
      <c r="F10" s="2"/>
      <c r="G10" s="2"/>
    </row>
    <row r="11" spans="1:7" ht="15" customHeight="1">
      <c r="A11" s="168" t="s">
        <v>341</v>
      </c>
      <c r="B11" s="166"/>
      <c r="C11" s="166"/>
      <c r="D11" s="166"/>
      <c r="E11" s="166"/>
      <c r="F11" s="166"/>
      <c r="G11" s="166"/>
    </row>
    <row r="12" spans="1:7" ht="15" customHeight="1">
      <c r="A12" s="3" t="s">
        <v>22</v>
      </c>
      <c r="B12" s="3" t="s">
        <v>342</v>
      </c>
      <c r="C12" s="3" t="s">
        <v>343</v>
      </c>
      <c r="D12" s="3" t="s">
        <v>344</v>
      </c>
      <c r="E12" s="3" t="s">
        <v>345</v>
      </c>
      <c r="F12" s="3" t="s">
        <v>346</v>
      </c>
      <c r="G12" s="3" t="s">
        <v>8</v>
      </c>
    </row>
    <row r="13" spans="1:7" ht="15" customHeight="1">
      <c r="A13" s="4">
        <v>1</v>
      </c>
      <c r="B13" s="4" t="s">
        <v>347</v>
      </c>
      <c r="C13" s="4">
        <v>3</v>
      </c>
      <c r="D13" s="4">
        <v>0</v>
      </c>
      <c r="E13" s="4">
        <v>40</v>
      </c>
      <c r="F13" s="4">
        <f>SUM(C13:E13)</f>
        <v>43</v>
      </c>
      <c r="G13" s="4" t="s">
        <v>11</v>
      </c>
    </row>
    <row r="14" spans="1:7" ht="15" customHeight="1">
      <c r="A14" s="4">
        <v>2</v>
      </c>
      <c r="B14" s="4" t="s">
        <v>348</v>
      </c>
      <c r="C14" s="4">
        <v>1</v>
      </c>
      <c r="D14" s="4">
        <v>20</v>
      </c>
      <c r="E14" s="4">
        <v>0</v>
      </c>
      <c r="F14" s="4">
        <f>SUM(C14:E14)</f>
        <v>21</v>
      </c>
      <c r="G14" s="4" t="s">
        <v>11</v>
      </c>
    </row>
    <row r="15" spans="1:7" ht="15" customHeight="1">
      <c r="A15" s="4">
        <v>3</v>
      </c>
      <c r="B15" s="4" t="s">
        <v>349</v>
      </c>
      <c r="C15" s="4">
        <v>4</v>
      </c>
      <c r="D15" s="4"/>
      <c r="E15" s="4"/>
      <c r="F15" s="4">
        <f>SUM(C15:E15)</f>
        <v>4</v>
      </c>
      <c r="G15" s="4" t="s">
        <v>350</v>
      </c>
    </row>
    <row r="16" spans="1:7" ht="15" customHeight="1">
      <c r="A16" s="4">
        <v>4</v>
      </c>
      <c r="B16" s="4" t="s">
        <v>351</v>
      </c>
      <c r="C16" s="4">
        <v>2</v>
      </c>
      <c r="D16" s="4"/>
      <c r="E16" s="4"/>
      <c r="F16" s="4">
        <f>SUM(C16:E16)</f>
        <v>2</v>
      </c>
      <c r="G16" s="4" t="s">
        <v>352</v>
      </c>
    </row>
    <row r="17" spans="1:7" ht="15" customHeight="1">
      <c r="A17" s="163" t="s">
        <v>353</v>
      </c>
      <c r="B17" s="164"/>
      <c r="C17" s="6">
        <f>SUM(C13:C16)</f>
        <v>10</v>
      </c>
      <c r="D17" s="6">
        <f>SUM(D13:D16)</f>
        <v>20</v>
      </c>
      <c r="E17" s="6">
        <f>SUM(E13:E16)</f>
        <v>40</v>
      </c>
      <c r="F17" s="6">
        <f>SUM(F13:F16)</f>
        <v>70</v>
      </c>
      <c r="G17" s="6"/>
    </row>
  </sheetData>
  <mergeCells count="6">
    <mergeCell ref="A17:B17"/>
    <mergeCell ref="A1:G1"/>
    <mergeCell ref="A2:G2"/>
    <mergeCell ref="A3:E3"/>
    <mergeCell ref="A9:B9"/>
    <mergeCell ref="A11:G11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11.1施工计划表</vt:lpstr>
      <vt:lpstr>施工甘特图</vt:lpstr>
      <vt:lpstr>OB预计发货量</vt:lpstr>
      <vt:lpstr>NIKE的forcast</vt:lpstr>
      <vt:lpstr>历史发货记录</vt:lpstr>
      <vt:lpstr>11.2施工人员安排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 Zhao</cp:lastModifiedBy>
  <dcterms:created xsi:type="dcterms:W3CDTF">2026-07-01T06:36:00Z</dcterms:created>
  <dcterms:modified xsi:type="dcterms:W3CDTF">2026-08-25T06:23:49Z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CCDFF09504E4487E9CFD0ABFF59DE74E_13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